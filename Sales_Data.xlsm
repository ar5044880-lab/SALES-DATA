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8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xcel Data Analyst\"/>
    </mc:Choice>
  </mc:AlternateContent>
  <xr:revisionPtr revIDLastSave="0" documentId="8_{CC54932E-8816-4FEB-9F09-4A0C9BCE8E43}" xr6:coauthVersionLast="47" xr6:coauthVersionMax="47" xr10:uidLastSave="{00000000-0000-0000-0000-000000000000}"/>
  <bookViews>
    <workbookView xWindow="22932" yWindow="-108" windowWidth="23256" windowHeight="13176" activeTab="1" xr2:uid="{81D512C5-DFD0-45A9-BA7A-3679803E1A90}"/>
  </bookViews>
  <sheets>
    <sheet name="Sheet1" sheetId="2" r:id="rId1"/>
    <sheet name="RAW DATA" sheetId="1" r:id="rId2"/>
  </sheets>
  <definedNames>
    <definedName name="Slicer_Region">#N/A</definedName>
  </definedNames>
  <calcPr calcId="191028"/>
  <pivotCaches>
    <pivotCache cacheId="339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<sst xmlns="http://schemas.openxmlformats.org/spreadsheetml/2006/main" count="468" uniqueCount="307">
  <si>
    <t xml:space="preserve"> </t>
  </si>
  <si>
    <t>Sales Executive</t>
  </si>
  <si>
    <t>Sum of Total Sales</t>
  </si>
  <si>
    <t>Sum of Target Hit %</t>
  </si>
  <si>
    <t>Sum of Away From Target %</t>
  </si>
  <si>
    <t>Afzal Husain</t>
  </si>
  <si>
    <t>Atul Kumar</t>
  </si>
  <si>
    <t>Kavita Sharma</t>
  </si>
  <si>
    <t>John D'Costa</t>
  </si>
  <si>
    <t>Miny Mole</t>
  </si>
  <si>
    <t>Rakhi Jodhani</t>
  </si>
  <si>
    <t>Shailendra Barge</t>
  </si>
  <si>
    <t xml:space="preserve">Rekha Jain </t>
  </si>
  <si>
    <t>Surendra Kumar</t>
  </si>
  <si>
    <t>Salim</t>
  </si>
  <si>
    <t>Grand Total</t>
  </si>
  <si>
    <t>Emp Code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</si>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</sst>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applyFill="1"/>
    <xf numFmtId="0" fontId="0" fillId="0" borderId="0" xfId="0" applyNumberFormat="1" applyFill="1"/>
    <xf numFmtId="10" fontId="0" fillId="0" borderId="0" xfId="0" applyNumberFormat="1" applyFill="1"/>
    <xf numFmtId="0" fontId="0" fillId="4" borderId="0" xfId="0" applyFill="1"/>
    <xf numFmtId="0" fontId="0" fillId="5" borderId="0" xfId="0" applyFill="1"/>
  </cellXfs>
  <cellStyles count="2">
    <cellStyle name="Normal" xfId="0" builtinId="0"/>
    <cellStyle name="Percent" xfId="1" builtinId="5"/>
  </cellStyles>
  <dxfs count="49"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solid">
          <fgColor indexed="64"/>
          <bgColor theme="6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48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[Sales_Data.xlsm]Sheet1!PivotTable1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Sheet1!$A$4:$A$9</c:f>
              <c:strCache>
                <c:ptCount val="5"/>
                <c:pt idx="0">
                  <c:v>Afzal Husain</c:v>
                </c:pt>
                <c:pt idx="1">
                  <c:v>Kavita Sharma</c:v>
                </c:pt>
                <c:pt idx="2">
                  <c:v>Miny Mole</c:v>
                </c:pt>
                <c:pt idx="3">
                  <c:v>Shailendra Barge</c:v>
                </c:pt>
                <c:pt idx="4">
                  <c:v>Surendra Kumar</c:v>
                </c:pt>
              </c:strCache>
            </c:strRef>
          </c:cat>
          <c:val>
            <c:numRef>
              <c:f>Sheet1!$B$4:$B$9</c:f>
              <c:numCache>
                <c:formatCode>General</c:formatCode>
                <c:ptCount val="5"/>
                <c:pt idx="0">
                  <c:v>316</c:v>
                </c:pt>
                <c:pt idx="1">
                  <c:v>318</c:v>
                </c:pt>
                <c:pt idx="2">
                  <c:v>384</c:v>
                </c:pt>
                <c:pt idx="3">
                  <c:v>324</c:v>
                </c:pt>
                <c:pt idx="4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6E-4276-87E6-7D1772921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188551"/>
        <c:axId val="22467079"/>
      </c:barChart>
      <c:catAx>
        <c:axId val="22188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7079"/>
        <c:crosses val="autoZero"/>
        <c:auto val="1"/>
        <c:lblAlgn val="ctr"/>
        <c:lblOffset val="100"/>
        <c:noMultiLvlLbl val="0"/>
      </c:catAx>
      <c:valAx>
        <c:axId val="22467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88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[Sales_Data.xlsm]Sheet1!PivotTable3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Sheet1!$H$3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11-41BF-A740-4CB504E4D5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11-41BF-A740-4CB504E4D5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11-41BF-A740-4CB504E4D5E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11-41BF-A740-4CB504E4D5E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11-41BF-A740-4CB504E4D5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Sheet1!$G$4:$G$9</c:f>
              <c:strCache>
                <c:ptCount val="5"/>
                <c:pt idx="0">
                  <c:v>Afzal Husain</c:v>
                </c:pt>
                <c:pt idx="1">
                  <c:v>Kavita Sharma</c:v>
                </c:pt>
                <c:pt idx="2">
                  <c:v>Miny Mole</c:v>
                </c:pt>
                <c:pt idx="3">
                  <c:v>Shailendra Barge</c:v>
                </c:pt>
                <c:pt idx="4">
                  <c:v>Surendra Kumar</c:v>
                </c:pt>
              </c:strCache>
            </c:strRef>
          </c:cat>
          <c:val>
            <c:numRef>
              <c:f>Sheet1!$H$4:$H$9</c:f>
              <c:numCache>
                <c:formatCode>0.00%</c:formatCode>
                <c:ptCount val="5"/>
                <c:pt idx="0">
                  <c:v>0.63200000000000001</c:v>
                </c:pt>
                <c:pt idx="1">
                  <c:v>0.63600000000000001</c:v>
                </c:pt>
                <c:pt idx="2">
                  <c:v>0.76800000000000002</c:v>
                </c:pt>
                <c:pt idx="3">
                  <c:v>0.64800000000000002</c:v>
                </c:pt>
                <c:pt idx="4">
                  <c:v>0.752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E-459A-B2C3-006494056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[Sales_Data.xlsm]Sheet1!PivotTable4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Sheet1!$J$4:$J$9</c:f>
              <c:strCache>
                <c:ptCount val="5"/>
                <c:pt idx="0">
                  <c:v>Atul Kumar</c:v>
                </c:pt>
                <c:pt idx="1">
                  <c:v>John D'Costa</c:v>
                </c:pt>
                <c:pt idx="2">
                  <c:v>Rakhi Jodhani</c:v>
                </c:pt>
                <c:pt idx="3">
                  <c:v>Rekha Jain </c:v>
                </c:pt>
                <c:pt idx="4">
                  <c:v>Salim</c:v>
                </c:pt>
              </c:strCache>
            </c:strRef>
          </c:cat>
          <c:val>
            <c:numRef>
              <c:f>Sheet1!$K$4:$K$9</c:f>
              <c:numCache>
                <c:formatCode>0.00%</c:formatCode>
                <c:ptCount val="5"/>
                <c:pt idx="0">
                  <c:v>0.51</c:v>
                </c:pt>
                <c:pt idx="1">
                  <c:v>0.57800000000000007</c:v>
                </c:pt>
                <c:pt idx="2">
                  <c:v>0.502</c:v>
                </c:pt>
                <c:pt idx="3">
                  <c:v>0.57400000000000007</c:v>
                </c:pt>
                <c:pt idx="4">
                  <c:v>0.57200000000000006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D-4121-ABEA-CB91F9F46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9847"/>
        <c:axId val="1305708039"/>
      </c:lineChart>
      <c:catAx>
        <c:axId val="1217059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08039"/>
        <c:crosses val="autoZero"/>
        <c:auto val="1"/>
        <c:lblAlgn val="ctr"/>
        <c:lblOffset val="100"/>
        <c:noMultiLvlLbl val="0"/>
      </c:catAx>
      <c:valAx>
        <c:axId val="1305708039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059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171450</xdr:rowOff>
    </xdr:from>
    <xdr:to>
      <xdr:col>3</xdr:col>
      <xdr:colOff>952500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082BEA-6AB5-EED2-8BBF-39015BE93C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971550</xdr:colOff>
      <xdr:row>10</xdr:row>
      <xdr:rowOff>0</xdr:rowOff>
    </xdr:from>
    <xdr:to>
      <xdr:col>7</xdr:col>
      <xdr:colOff>381000</xdr:colOff>
      <xdr:row>21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DDA4B1D-0AC6-E69A-FC4A-3AC35B664C90}"/>
            </a:ext>
            <a:ext uri="{147F2762-F138-4A5C-976F-8EAC2B608ADB}">
              <a16:predDERef xmlns:a16="http://schemas.microsoft.com/office/drawing/2014/main" pred="{A4082BEA-6AB5-EED2-8BBF-39015BE93C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390525</xdr:colOff>
      <xdr:row>9</xdr:row>
      <xdr:rowOff>171450</xdr:rowOff>
    </xdr:from>
    <xdr:to>
      <xdr:col>10</xdr:col>
      <xdr:colOff>952500</xdr:colOff>
      <xdr:row>22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A0EB221-76AA-D1A1-AAFD-354FB6497784}"/>
            </a:ext>
            <a:ext uri="{147F2762-F138-4A5C-976F-8EAC2B608ADB}">
              <a16:predDERef xmlns:a16="http://schemas.microsoft.com/office/drawing/2014/main" pred="{4DDA4B1D-0AC6-E69A-FC4A-3AC35B664C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1485900</xdr:colOff>
      <xdr:row>1</xdr:row>
      <xdr:rowOff>323850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Region">
              <a:extLst>
                <a:ext uri="{FF2B5EF4-FFF2-40B4-BE49-F238E27FC236}">
                  <a16:creationId xmlns:a16="http://schemas.microsoft.com/office/drawing/2014/main" id="{FAB6CE55-4761-ADEC-3EAF-D44BDF8E9826}"/>
                </a:ext>
                <a:ext uri="{147F2762-F138-4A5C-976F-8EAC2B608ADB}">
                  <a16:predDERef xmlns:a16="http://schemas.microsoft.com/office/drawing/2014/main" pred="{CA0EB221-76AA-D1A1-AAFD-354FB64977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" y="2447925"/>
              <a:ext cx="11744325" cy="400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47.370692476848" createdVersion="8" refreshedVersion="8" minRefreshableVersion="3" recordCount="141" xr:uid="{E220CB54-502F-489C-B053-257B6A2CB464}">
  <cacheSource type="worksheet">
    <worksheetSource ref="A1:L142" sheet="RAW DATA"/>
  </cacheSource>
  <cacheFields count="12">
    <cacheField name="Emp Code" numFmtId="14">
      <sharedItems/>
    </cacheField>
    <cacheField name="Sales Executive" numFmtId="0">
      <sharedItems count="141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</sharedItems>
    </cacheField>
    <cacheField name="Region" numFmtId="0">
      <sharedItems count="8">
        <s v="Mumbai"/>
        <s v="Delhi"/>
        <s v="Nagpur"/>
        <s v="Chennai"/>
        <s v="Pune"/>
        <s v="Patna"/>
        <s v="Ranchi"/>
        <s v="Surat"/>
      </sharedItems>
    </cacheField>
    <cacheField name="Day1" numFmtId="0">
      <sharedItems containsSemiMixedTypes="0" containsString="0" containsNumber="1" containsInteger="1" minValue="10" maxValue="99"/>
    </cacheField>
    <cacheField name="Day2" numFmtId="0">
      <sharedItems containsSemiMixedTypes="0" containsString="0" containsNumber="1" containsInteger="1" minValue="11" maxValue="99"/>
    </cacheField>
    <cacheField name="Day3" numFmtId="0">
      <sharedItems containsSemiMixedTypes="0" containsString="0" containsNumber="1" containsInteger="1" minValue="10" maxValue="99"/>
    </cacheField>
    <cacheField name="Day4" numFmtId="0">
      <sharedItems containsSemiMixedTypes="0" containsString="0" containsNumber="1" containsInteger="1" minValue="11" maxValue="99"/>
    </cacheField>
    <cacheField name="Day5" numFmtId="0">
      <sharedItems containsSemiMixedTypes="0" containsString="0" containsNumber="1" containsInteger="1" minValue="10" maxValue="99"/>
    </cacheField>
    <cacheField name="Total Sales" numFmtId="0">
      <sharedItems containsSemiMixedTypes="0" containsString="0" containsNumber="1" containsInteger="1" minValue="143" maxValue="389"/>
    </cacheField>
    <cacheField name="Target" numFmtId="0">
      <sharedItems containsSemiMixedTypes="0" containsString="0" containsNumber="1" containsInteger="1" minValue="500" maxValue="500"/>
    </cacheField>
    <cacheField name="Target Hit %" numFmtId="10">
      <sharedItems containsSemiMixedTypes="0" containsString="0" containsNumber="1" minValue="0.28599999999999998" maxValue="0.77800000000000002"/>
    </cacheField>
    <cacheField name="Away From Target %" numFmtId="10">
      <sharedItems containsSemiMixedTypes="0" containsString="0" containsNumber="1" minValue="0.22199999999999998" maxValue="0.71399999999999997"/>
    </cacheField>
  </cacheFields>
  <extLst>
    <ext xmlns:x14="http://schemas.microsoft.com/office/spreadsheetml/2009/9/main" uri="{725AE2AE-9491-48be-B2B4-4EB974FC3084}">
      <x14:pivotCacheDefinition pivotCacheId="63522689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s v="Mum-TCL001"/>
    <x v="0"/>
    <x v="0"/>
    <n v="49"/>
    <n v="84"/>
    <n v="98"/>
    <n v="67"/>
    <n v="41"/>
    <n v="339"/>
    <n v="500"/>
    <n v="0.67800000000000005"/>
    <n v="0.32199999999999995"/>
  </r>
  <r>
    <s v="Mum-TCL002"/>
    <x v="1"/>
    <x v="1"/>
    <n v="44"/>
    <n v="85"/>
    <n v="47"/>
    <n v="15"/>
    <n v="48"/>
    <n v="239"/>
    <n v="500"/>
    <n v="0.47799999999999998"/>
    <n v="0.52200000000000002"/>
  </r>
  <r>
    <s v="Mum-TCL003"/>
    <x v="2"/>
    <x v="2"/>
    <n v="45"/>
    <n v="79"/>
    <n v="88"/>
    <n v="73"/>
    <n v="94"/>
    <n v="379"/>
    <n v="500"/>
    <n v="0.75800000000000001"/>
    <n v="0.24199999999999999"/>
  </r>
  <r>
    <s v="Mum-TCL004"/>
    <x v="3"/>
    <x v="3"/>
    <n v="52"/>
    <n v="99"/>
    <n v="13"/>
    <n v="95"/>
    <n v="29"/>
    <n v="288"/>
    <n v="500"/>
    <n v="0.57599999999999996"/>
    <n v="0.42400000000000004"/>
  </r>
  <r>
    <s v="Mum-TCL005"/>
    <x v="4"/>
    <x v="4"/>
    <n v="35"/>
    <n v="54"/>
    <n v="49"/>
    <n v="26"/>
    <n v="49"/>
    <n v="213"/>
    <n v="500"/>
    <n v="0.42599999999999999"/>
    <n v="0.57400000000000007"/>
  </r>
  <r>
    <s v="Mum-TCL006"/>
    <x v="5"/>
    <x v="5"/>
    <n v="86"/>
    <n v="31"/>
    <n v="23"/>
    <n v="48"/>
    <n v="77"/>
    <n v="265"/>
    <n v="500"/>
    <n v="0.53"/>
    <n v="0.47"/>
  </r>
  <r>
    <s v="Mum-TCL007"/>
    <x v="6"/>
    <x v="6"/>
    <n v="84"/>
    <n v="28"/>
    <n v="98"/>
    <n v="80"/>
    <n v="79"/>
    <n v="369"/>
    <n v="500"/>
    <n v="0.73799999999999999"/>
    <n v="0.26200000000000001"/>
  </r>
  <r>
    <s v="Mum-TCL008"/>
    <x v="7"/>
    <x v="7"/>
    <n v="73"/>
    <n v="97"/>
    <n v="38"/>
    <n v="24"/>
    <n v="53"/>
    <n v="285"/>
    <n v="500"/>
    <n v="0.56999999999999995"/>
    <n v="0.43000000000000005"/>
  </r>
  <r>
    <s v="Mum-TCL009"/>
    <x v="8"/>
    <x v="0"/>
    <n v="54"/>
    <n v="26"/>
    <n v="53"/>
    <n v="36"/>
    <n v="20"/>
    <n v="189"/>
    <n v="500"/>
    <n v="0.378"/>
    <n v="0.622"/>
  </r>
  <r>
    <s v="Mum-TCL010"/>
    <x v="9"/>
    <x v="1"/>
    <n v="52"/>
    <n v="52"/>
    <n v="19"/>
    <n v="53"/>
    <n v="37"/>
    <n v="213"/>
    <n v="500"/>
    <n v="0.42599999999999999"/>
    <n v="0.57400000000000007"/>
  </r>
  <r>
    <s v="Mum-TCL011"/>
    <x v="10"/>
    <x v="2"/>
    <n v="63"/>
    <n v="17"/>
    <n v="40"/>
    <n v="48"/>
    <n v="51"/>
    <n v="219"/>
    <n v="500"/>
    <n v="0.438"/>
    <n v="0.56200000000000006"/>
  </r>
  <r>
    <s v="Mum-TCL012"/>
    <x v="11"/>
    <x v="3"/>
    <n v="79"/>
    <n v="99"/>
    <n v="95"/>
    <n v="12"/>
    <n v="91"/>
    <n v="376"/>
    <n v="500"/>
    <n v="0.752"/>
    <n v="0.248"/>
  </r>
  <r>
    <s v="Mum-TCL013"/>
    <x v="12"/>
    <x v="4"/>
    <n v="95"/>
    <n v="88"/>
    <n v="11"/>
    <n v="78"/>
    <n v="60"/>
    <n v="332"/>
    <n v="500"/>
    <n v="0.66400000000000003"/>
    <n v="0.33599999999999997"/>
  </r>
  <r>
    <s v="Mum-TCL014"/>
    <x v="13"/>
    <x v="5"/>
    <n v="83"/>
    <n v="77"/>
    <n v="66"/>
    <n v="22"/>
    <n v="40"/>
    <n v="288"/>
    <n v="500"/>
    <n v="0.57599999999999996"/>
    <n v="0.42400000000000004"/>
  </r>
  <r>
    <s v="Mum-TCL015"/>
    <x v="14"/>
    <x v="6"/>
    <n v="78"/>
    <n v="58"/>
    <n v="34"/>
    <n v="84"/>
    <n v="31"/>
    <n v="285"/>
    <n v="500"/>
    <n v="0.56999999999999995"/>
    <n v="0.43000000000000005"/>
  </r>
  <r>
    <s v="Mum-TCL016"/>
    <x v="15"/>
    <x v="7"/>
    <n v="14"/>
    <n v="25"/>
    <n v="45"/>
    <n v="70"/>
    <n v="45"/>
    <n v="199"/>
    <n v="500"/>
    <n v="0.39800000000000002"/>
    <n v="0.60199999999999998"/>
  </r>
  <r>
    <s v="Mum-TCL017"/>
    <x v="16"/>
    <x v="0"/>
    <n v="37"/>
    <n v="69"/>
    <n v="96"/>
    <n v="66"/>
    <n v="38"/>
    <n v="306"/>
    <n v="500"/>
    <n v="0.61199999999999999"/>
    <n v="0.38800000000000001"/>
  </r>
  <r>
    <s v="Mum-TCL018"/>
    <x v="17"/>
    <x v="1"/>
    <n v="11"/>
    <n v="46"/>
    <n v="91"/>
    <n v="98"/>
    <n v="45"/>
    <n v="291"/>
    <n v="500"/>
    <n v="0.58199999999999996"/>
    <n v="0.41800000000000004"/>
  </r>
  <r>
    <s v="Mum-TCL019"/>
    <x v="18"/>
    <x v="2"/>
    <n v="19"/>
    <n v="34"/>
    <n v="64"/>
    <n v="65"/>
    <n v="70"/>
    <n v="252"/>
    <n v="500"/>
    <n v="0.504"/>
    <n v="0.496"/>
  </r>
  <r>
    <s v="Mum-TCL020"/>
    <x v="19"/>
    <x v="3"/>
    <n v="93"/>
    <n v="84"/>
    <n v="13"/>
    <n v="45"/>
    <n v="18"/>
    <n v="253"/>
    <n v="500"/>
    <n v="0.50600000000000001"/>
    <n v="0.49399999999999999"/>
  </r>
  <r>
    <s v="Mum-TCL021"/>
    <x v="20"/>
    <x v="4"/>
    <n v="68"/>
    <n v="73"/>
    <n v="97"/>
    <n v="76"/>
    <n v="53"/>
    <n v="367"/>
    <n v="500"/>
    <n v="0.73399999999999999"/>
    <n v="0.26600000000000001"/>
  </r>
  <r>
    <s v="Mum-TCL022"/>
    <x v="21"/>
    <x v="5"/>
    <n v="99"/>
    <n v="17"/>
    <n v="48"/>
    <n v="44"/>
    <n v="93"/>
    <n v="301"/>
    <n v="500"/>
    <n v="0.60199999999999998"/>
    <n v="0.39800000000000002"/>
  </r>
  <r>
    <s v="Mum-TCL023"/>
    <x v="22"/>
    <x v="6"/>
    <n v="57"/>
    <n v="28"/>
    <n v="31"/>
    <n v="34"/>
    <n v="52"/>
    <n v="202"/>
    <n v="500"/>
    <n v="0.40400000000000003"/>
    <n v="0.59599999999999997"/>
  </r>
  <r>
    <s v="Mum-TCL024"/>
    <x v="23"/>
    <x v="7"/>
    <n v="40"/>
    <n v="22"/>
    <n v="18"/>
    <n v="11"/>
    <n v="92"/>
    <n v="183"/>
    <n v="500"/>
    <n v="0.36599999999999999"/>
    <n v="0.63400000000000001"/>
  </r>
  <r>
    <s v="Mum-TCL025"/>
    <x v="24"/>
    <x v="0"/>
    <n v="47"/>
    <n v="99"/>
    <n v="94"/>
    <n v="75"/>
    <n v="29"/>
    <n v="344"/>
    <n v="500"/>
    <n v="0.68799999999999994"/>
    <n v="0.31200000000000006"/>
  </r>
  <r>
    <s v="Mum-TCL026"/>
    <x v="25"/>
    <x v="1"/>
    <n v="16"/>
    <n v="71"/>
    <n v="80"/>
    <n v="76"/>
    <n v="33"/>
    <n v="276"/>
    <n v="500"/>
    <n v="0.55200000000000005"/>
    <n v="0.44799999999999995"/>
  </r>
  <r>
    <s v="Mum-TCL027"/>
    <x v="26"/>
    <x v="2"/>
    <n v="72"/>
    <n v="87"/>
    <n v="92"/>
    <n v="72"/>
    <n v="34"/>
    <n v="357"/>
    <n v="500"/>
    <n v="0.71399999999999997"/>
    <n v="0.28600000000000003"/>
  </r>
  <r>
    <s v="Mum-TCL028"/>
    <x v="27"/>
    <x v="3"/>
    <n v="30"/>
    <n v="38"/>
    <n v="70"/>
    <n v="89"/>
    <n v="97"/>
    <n v="324"/>
    <n v="500"/>
    <n v="0.64800000000000002"/>
    <n v="0.35199999999999998"/>
  </r>
  <r>
    <s v="Mum-TCL029"/>
    <x v="28"/>
    <x v="4"/>
    <n v="65"/>
    <n v="90"/>
    <n v="91"/>
    <n v="85"/>
    <n v="10"/>
    <n v="341"/>
    <n v="500"/>
    <n v="0.68200000000000005"/>
    <n v="0.31799999999999995"/>
  </r>
  <r>
    <s v="Mum-TCL030"/>
    <x v="29"/>
    <x v="5"/>
    <n v="83"/>
    <n v="46"/>
    <n v="99"/>
    <n v="36"/>
    <n v="89"/>
    <n v="353"/>
    <n v="500"/>
    <n v="0.70599999999999996"/>
    <n v="0.29400000000000004"/>
  </r>
  <r>
    <s v="Mum-TCL031"/>
    <x v="30"/>
    <x v="6"/>
    <n v="10"/>
    <n v="66"/>
    <n v="40"/>
    <n v="22"/>
    <n v="38"/>
    <n v="176"/>
    <n v="500"/>
    <n v="0.35199999999999998"/>
    <n v="0.64800000000000002"/>
  </r>
  <r>
    <s v="Mum-TCL032"/>
    <x v="31"/>
    <x v="7"/>
    <n v="37"/>
    <n v="30"/>
    <n v="19"/>
    <n v="77"/>
    <n v="67"/>
    <n v="230"/>
    <n v="500"/>
    <n v="0.46"/>
    <n v="0.54"/>
  </r>
  <r>
    <s v="Mum-TCL033"/>
    <x v="32"/>
    <x v="0"/>
    <n v="83"/>
    <n v="46"/>
    <n v="17"/>
    <n v="94"/>
    <n v="92"/>
    <n v="332"/>
    <n v="500"/>
    <n v="0.66400000000000003"/>
    <n v="0.33599999999999997"/>
  </r>
  <r>
    <s v="Mum-TCL034"/>
    <x v="33"/>
    <x v="1"/>
    <n v="84"/>
    <n v="59"/>
    <n v="41"/>
    <n v="17"/>
    <n v="22"/>
    <n v="223"/>
    <n v="500"/>
    <n v="0.44600000000000001"/>
    <n v="0.55400000000000005"/>
  </r>
  <r>
    <s v="Mum-TCL035"/>
    <x v="34"/>
    <x v="2"/>
    <n v="82"/>
    <n v="54"/>
    <n v="79"/>
    <n v="61"/>
    <n v="47"/>
    <n v="323"/>
    <n v="500"/>
    <n v="0.64600000000000002"/>
    <n v="0.35399999999999998"/>
  </r>
  <r>
    <s v="Mum-TCL036"/>
    <x v="35"/>
    <x v="3"/>
    <n v="47"/>
    <n v="23"/>
    <n v="19"/>
    <n v="64"/>
    <n v="61"/>
    <n v="214"/>
    <n v="500"/>
    <n v="0.42799999999999999"/>
    <n v="0.57200000000000006"/>
  </r>
  <r>
    <s v="Mum-TCL037"/>
    <x v="36"/>
    <x v="4"/>
    <n v="91"/>
    <n v="13"/>
    <n v="79"/>
    <n v="85"/>
    <n v="67"/>
    <n v="335"/>
    <n v="500"/>
    <n v="0.67"/>
    <n v="0.32999999999999996"/>
  </r>
  <r>
    <s v="Mum-TCL038"/>
    <x v="37"/>
    <x v="5"/>
    <n v="66"/>
    <n v="59"/>
    <n v="25"/>
    <n v="55"/>
    <n v="59"/>
    <n v="264"/>
    <n v="500"/>
    <n v="0.52800000000000002"/>
    <n v="0.47199999999999998"/>
  </r>
  <r>
    <s v="Mum-TCL039"/>
    <x v="38"/>
    <x v="6"/>
    <n v="70"/>
    <n v="18"/>
    <n v="88"/>
    <n v="46"/>
    <n v="52"/>
    <n v="274"/>
    <n v="500"/>
    <n v="0.54800000000000004"/>
    <n v="0.45199999999999996"/>
  </r>
  <r>
    <s v="Mum-TCL040"/>
    <x v="39"/>
    <x v="7"/>
    <n v="37"/>
    <n v="60"/>
    <n v="44"/>
    <n v="61"/>
    <n v="30"/>
    <n v="232"/>
    <n v="500"/>
    <n v="0.46400000000000002"/>
    <n v="0.53600000000000003"/>
  </r>
  <r>
    <s v="Mum-TCL041"/>
    <x v="40"/>
    <x v="0"/>
    <n v="16"/>
    <n v="46"/>
    <n v="33"/>
    <n v="54"/>
    <n v="58"/>
    <n v="207"/>
    <n v="500"/>
    <n v="0.41399999999999998"/>
    <n v="0.58600000000000008"/>
  </r>
  <r>
    <s v="Mum-TCL042"/>
    <x v="41"/>
    <x v="1"/>
    <n v="47"/>
    <n v="97"/>
    <n v="74"/>
    <n v="97"/>
    <n v="56"/>
    <n v="371"/>
    <n v="500"/>
    <n v="0.74199999999999999"/>
    <n v="0.25800000000000001"/>
  </r>
  <r>
    <s v="Mum-TCL043"/>
    <x v="42"/>
    <x v="2"/>
    <n v="86"/>
    <n v="22"/>
    <n v="10"/>
    <n v="60"/>
    <n v="28"/>
    <n v="206"/>
    <n v="500"/>
    <n v="0.41199999999999998"/>
    <n v="0.58800000000000008"/>
  </r>
  <r>
    <s v="Mum-TCL044"/>
    <x v="43"/>
    <x v="3"/>
    <n v="74"/>
    <n v="17"/>
    <n v="45"/>
    <n v="64"/>
    <n v="13"/>
    <n v="213"/>
    <n v="500"/>
    <n v="0.42599999999999999"/>
    <n v="0.57400000000000007"/>
  </r>
  <r>
    <s v="Mum-TCL045"/>
    <x v="44"/>
    <x v="4"/>
    <n v="80"/>
    <n v="51"/>
    <n v="15"/>
    <n v="97"/>
    <n v="42"/>
    <n v="285"/>
    <n v="500"/>
    <n v="0.56999999999999995"/>
    <n v="0.43000000000000005"/>
  </r>
  <r>
    <s v="Mum-TCL046"/>
    <x v="45"/>
    <x v="5"/>
    <n v="49"/>
    <n v="82"/>
    <n v="95"/>
    <n v="46"/>
    <n v="78"/>
    <n v="350"/>
    <n v="500"/>
    <n v="0.7"/>
    <n v="0.30000000000000004"/>
  </r>
  <r>
    <s v="Mum-TCL047"/>
    <x v="46"/>
    <x v="6"/>
    <n v="17"/>
    <n v="88"/>
    <n v="12"/>
    <n v="54"/>
    <n v="21"/>
    <n v="192"/>
    <n v="500"/>
    <n v="0.38400000000000001"/>
    <n v="0.61599999999999999"/>
  </r>
  <r>
    <s v="Mum-TCL048"/>
    <x v="47"/>
    <x v="7"/>
    <n v="74"/>
    <n v="16"/>
    <n v="74"/>
    <n v="36"/>
    <n v="33"/>
    <n v="233"/>
    <n v="500"/>
    <n v="0.46600000000000003"/>
    <n v="0.53400000000000003"/>
  </r>
  <r>
    <s v="Mum-TCL049"/>
    <x v="48"/>
    <x v="0"/>
    <n v="73"/>
    <n v="72"/>
    <n v="38"/>
    <n v="19"/>
    <n v="90"/>
    <n v="292"/>
    <n v="500"/>
    <n v="0.58399999999999996"/>
    <n v="0.41600000000000004"/>
  </r>
  <r>
    <s v="Mum-TCL050"/>
    <x v="49"/>
    <x v="1"/>
    <n v="17"/>
    <n v="84"/>
    <n v="90"/>
    <n v="77"/>
    <n v="72"/>
    <n v="340"/>
    <n v="500"/>
    <n v="0.68"/>
    <n v="0.31999999999999995"/>
  </r>
  <r>
    <s v="Mum-TCL051"/>
    <x v="50"/>
    <x v="2"/>
    <n v="52"/>
    <n v="36"/>
    <n v="84"/>
    <n v="41"/>
    <n v="57"/>
    <n v="270"/>
    <n v="500"/>
    <n v="0.54"/>
    <n v="0.45999999999999996"/>
  </r>
  <r>
    <s v="Mum-TCL052"/>
    <x v="51"/>
    <x v="3"/>
    <n v="65"/>
    <n v="67"/>
    <n v="72"/>
    <n v="22"/>
    <n v="23"/>
    <n v="249"/>
    <n v="500"/>
    <n v="0.498"/>
    <n v="0.502"/>
  </r>
  <r>
    <s v="Mum-TCL053"/>
    <x v="52"/>
    <x v="4"/>
    <n v="88"/>
    <n v="39"/>
    <n v="25"/>
    <n v="99"/>
    <n v="71"/>
    <n v="322"/>
    <n v="500"/>
    <n v="0.64400000000000002"/>
    <n v="0.35599999999999998"/>
  </r>
  <r>
    <s v="Mum-TCL054"/>
    <x v="53"/>
    <x v="5"/>
    <n v="23"/>
    <n v="14"/>
    <n v="15"/>
    <n v="58"/>
    <n v="79"/>
    <n v="189"/>
    <n v="500"/>
    <n v="0.378"/>
    <n v="0.622"/>
  </r>
  <r>
    <s v="Mum-TCL055"/>
    <x v="54"/>
    <x v="6"/>
    <n v="15"/>
    <n v="67"/>
    <n v="48"/>
    <n v="95"/>
    <n v="35"/>
    <n v="260"/>
    <n v="500"/>
    <n v="0.52"/>
    <n v="0.48"/>
  </r>
  <r>
    <s v="Mum-TCL056"/>
    <x v="55"/>
    <x v="7"/>
    <n v="18"/>
    <n v="35"/>
    <n v="82"/>
    <n v="31"/>
    <n v="26"/>
    <n v="192"/>
    <n v="500"/>
    <n v="0.38400000000000001"/>
    <n v="0.61599999999999999"/>
  </r>
  <r>
    <s v="Mum-TCL057"/>
    <x v="56"/>
    <x v="0"/>
    <n v="57"/>
    <n v="60"/>
    <n v="42"/>
    <n v="81"/>
    <n v="44"/>
    <n v="284"/>
    <n v="500"/>
    <n v="0.56799999999999995"/>
    <n v="0.43200000000000005"/>
  </r>
  <r>
    <s v="Mum-TCL058"/>
    <x v="57"/>
    <x v="1"/>
    <n v="34"/>
    <n v="97"/>
    <n v="66"/>
    <n v="45"/>
    <n v="50"/>
    <n v="292"/>
    <n v="500"/>
    <n v="0.58399999999999996"/>
    <n v="0.41600000000000004"/>
  </r>
  <r>
    <s v="Mum-TCL059"/>
    <x v="58"/>
    <x v="2"/>
    <n v="83"/>
    <n v="12"/>
    <n v="70"/>
    <n v="83"/>
    <n v="52"/>
    <n v="300"/>
    <n v="500"/>
    <n v="0.6"/>
    <n v="0.4"/>
  </r>
  <r>
    <s v="Mum-TCL060"/>
    <x v="59"/>
    <x v="3"/>
    <n v="76"/>
    <n v="55"/>
    <n v="56"/>
    <n v="16"/>
    <n v="61"/>
    <n v="264"/>
    <n v="500"/>
    <n v="0.52800000000000002"/>
    <n v="0.47199999999999998"/>
  </r>
  <r>
    <s v="Mum-TCL061"/>
    <x v="60"/>
    <x v="4"/>
    <n v="40"/>
    <n v="70"/>
    <n v="19"/>
    <n v="36"/>
    <n v="52"/>
    <n v="217"/>
    <n v="500"/>
    <n v="0.434"/>
    <n v="0.56600000000000006"/>
  </r>
  <r>
    <s v="Mum-TCL062"/>
    <x v="61"/>
    <x v="5"/>
    <n v="44"/>
    <n v="60"/>
    <n v="71"/>
    <n v="34"/>
    <n v="37"/>
    <n v="246"/>
    <n v="500"/>
    <n v="0.49199999999999999"/>
    <n v="0.50800000000000001"/>
  </r>
  <r>
    <s v="Mum-TCL063"/>
    <x v="62"/>
    <x v="6"/>
    <n v="43"/>
    <n v="78"/>
    <n v="15"/>
    <n v="98"/>
    <n v="33"/>
    <n v="267"/>
    <n v="500"/>
    <n v="0.53400000000000003"/>
    <n v="0.46599999999999997"/>
  </r>
  <r>
    <s v="Mum-TCL064"/>
    <x v="63"/>
    <x v="7"/>
    <n v="75"/>
    <n v="75"/>
    <n v="89"/>
    <n v="97"/>
    <n v="49"/>
    <n v="385"/>
    <n v="500"/>
    <n v="0.77"/>
    <n v="0.22999999999999998"/>
  </r>
  <r>
    <s v="Mum-TCL065"/>
    <x v="64"/>
    <x v="0"/>
    <n v="74"/>
    <n v="51"/>
    <n v="97"/>
    <n v="73"/>
    <n v="33"/>
    <n v="328"/>
    <n v="500"/>
    <n v="0.65600000000000003"/>
    <n v="0.34399999999999997"/>
  </r>
  <r>
    <s v="Mum-TCL066"/>
    <x v="65"/>
    <x v="1"/>
    <n v="44"/>
    <n v="36"/>
    <n v="11"/>
    <n v="45"/>
    <n v="30"/>
    <n v="166"/>
    <n v="500"/>
    <n v="0.33200000000000002"/>
    <n v="0.66799999999999993"/>
  </r>
  <r>
    <s v="Mum-TCL067"/>
    <x v="66"/>
    <x v="2"/>
    <n v="87"/>
    <n v="79"/>
    <n v="46"/>
    <n v="65"/>
    <n v="65"/>
    <n v="342"/>
    <n v="500"/>
    <n v="0.68400000000000005"/>
    <n v="0.31599999999999995"/>
  </r>
  <r>
    <s v="Mum-TCL068"/>
    <x v="67"/>
    <x v="3"/>
    <n v="70"/>
    <n v="52"/>
    <n v="80"/>
    <n v="43"/>
    <n v="48"/>
    <n v="293"/>
    <n v="500"/>
    <n v="0.58599999999999997"/>
    <n v="0.41400000000000003"/>
  </r>
  <r>
    <s v="Mum-TCL069"/>
    <x v="68"/>
    <x v="4"/>
    <n v="45"/>
    <n v="26"/>
    <n v="27"/>
    <n v="14"/>
    <n v="59"/>
    <n v="171"/>
    <n v="500"/>
    <n v="0.34200000000000003"/>
    <n v="0.65799999999999992"/>
  </r>
  <r>
    <s v="Mum-TCL070"/>
    <x v="69"/>
    <x v="5"/>
    <n v="51"/>
    <n v="26"/>
    <n v="58"/>
    <n v="83"/>
    <n v="11"/>
    <n v="229"/>
    <n v="500"/>
    <n v="0.45800000000000002"/>
    <n v="0.54200000000000004"/>
  </r>
  <r>
    <s v="Mum-TCL071"/>
    <x v="70"/>
    <x v="6"/>
    <n v="68"/>
    <n v="36"/>
    <n v="15"/>
    <n v="20"/>
    <n v="17"/>
    <n v="156"/>
    <n v="500"/>
    <n v="0.312"/>
    <n v="0.68799999999999994"/>
  </r>
  <r>
    <s v="Mum-TCL072"/>
    <x v="71"/>
    <x v="7"/>
    <n v="32"/>
    <n v="74"/>
    <n v="18"/>
    <n v="33"/>
    <n v="51"/>
    <n v="208"/>
    <n v="500"/>
    <n v="0.41599999999999998"/>
    <n v="0.58400000000000007"/>
  </r>
  <r>
    <s v="Mum-TCL073"/>
    <x v="72"/>
    <x v="0"/>
    <n v="41"/>
    <n v="11"/>
    <n v="46"/>
    <n v="35"/>
    <n v="10"/>
    <n v="143"/>
    <n v="500"/>
    <n v="0.28599999999999998"/>
    <n v="0.71399999999999997"/>
  </r>
  <r>
    <s v="Mum-TCL074"/>
    <x v="73"/>
    <x v="1"/>
    <n v="41"/>
    <n v="17"/>
    <n v="82"/>
    <n v="75"/>
    <n v="39"/>
    <n v="254"/>
    <n v="500"/>
    <n v="0.50800000000000001"/>
    <n v="0.49199999999999999"/>
  </r>
  <r>
    <s v="Mum-TCL075"/>
    <x v="74"/>
    <x v="2"/>
    <n v="12"/>
    <n v="97"/>
    <n v="45"/>
    <n v="29"/>
    <n v="41"/>
    <n v="224"/>
    <n v="500"/>
    <n v="0.44800000000000001"/>
    <n v="0.55200000000000005"/>
  </r>
  <r>
    <s v="Mum-TCL076"/>
    <x v="75"/>
    <x v="3"/>
    <n v="19"/>
    <n v="72"/>
    <n v="87"/>
    <n v="82"/>
    <n v="27"/>
    <n v="287"/>
    <n v="500"/>
    <n v="0.57399999999999995"/>
    <n v="0.42600000000000005"/>
  </r>
  <r>
    <s v="Mum-TCL077"/>
    <x v="76"/>
    <x v="4"/>
    <n v="98"/>
    <n v="15"/>
    <n v="72"/>
    <n v="67"/>
    <n v="34"/>
    <n v="286"/>
    <n v="500"/>
    <n v="0.57199999999999995"/>
    <n v="0.42800000000000005"/>
  </r>
  <r>
    <s v="Mum-TCL078"/>
    <x v="77"/>
    <x v="5"/>
    <n v="50"/>
    <n v="44"/>
    <n v="46"/>
    <n v="13"/>
    <n v="92"/>
    <n v="245"/>
    <n v="500"/>
    <n v="0.49"/>
    <n v="0.51"/>
  </r>
  <r>
    <s v="Mum-TCL079"/>
    <x v="78"/>
    <x v="6"/>
    <n v="40"/>
    <n v="82"/>
    <n v="72"/>
    <n v="42"/>
    <n v="45"/>
    <n v="281"/>
    <n v="500"/>
    <n v="0.56200000000000006"/>
    <n v="0.43799999999999994"/>
  </r>
  <r>
    <s v="Mum-TCL080"/>
    <x v="79"/>
    <x v="7"/>
    <n v="23"/>
    <n v="83"/>
    <n v="63"/>
    <n v="65"/>
    <n v="83"/>
    <n v="317"/>
    <n v="500"/>
    <n v="0.63400000000000001"/>
    <n v="0.36599999999999999"/>
  </r>
  <r>
    <s v="Mum-TCL081"/>
    <x v="80"/>
    <x v="0"/>
    <n v="71"/>
    <n v="94"/>
    <n v="45"/>
    <n v="95"/>
    <n v="46"/>
    <n v="351"/>
    <n v="500"/>
    <n v="0.70199999999999996"/>
    <n v="0.29800000000000004"/>
  </r>
  <r>
    <s v="Mum-TCL082"/>
    <x v="81"/>
    <x v="1"/>
    <n v="48"/>
    <n v="49"/>
    <n v="68"/>
    <n v="23"/>
    <n v="21"/>
    <n v="209"/>
    <n v="500"/>
    <n v="0.41799999999999998"/>
    <n v="0.58200000000000007"/>
  </r>
  <r>
    <s v="Mum-TCL083"/>
    <x v="82"/>
    <x v="2"/>
    <n v="77"/>
    <n v="83"/>
    <n v="64"/>
    <n v="53"/>
    <n v="13"/>
    <n v="290"/>
    <n v="500"/>
    <n v="0.57999999999999996"/>
    <n v="0.42000000000000004"/>
  </r>
  <r>
    <s v="Mum-TCL084"/>
    <x v="83"/>
    <x v="3"/>
    <n v="81"/>
    <n v="63"/>
    <n v="88"/>
    <n v="89"/>
    <n v="63"/>
    <n v="384"/>
    <n v="500"/>
    <n v="0.76800000000000002"/>
    <n v="0.23199999999999998"/>
  </r>
  <r>
    <s v="Mum-TCL085"/>
    <x v="84"/>
    <x v="4"/>
    <n v="39"/>
    <n v="87"/>
    <n v="62"/>
    <n v="80"/>
    <n v="81"/>
    <n v="349"/>
    <n v="500"/>
    <n v="0.69799999999999995"/>
    <n v="0.30200000000000005"/>
  </r>
  <r>
    <s v="Mum-TCL086"/>
    <x v="85"/>
    <x v="5"/>
    <n v="46"/>
    <n v="19"/>
    <n v="59"/>
    <n v="58"/>
    <n v="33"/>
    <n v="215"/>
    <n v="500"/>
    <n v="0.43"/>
    <n v="0.57000000000000006"/>
  </r>
  <r>
    <s v="Mum-TCL087"/>
    <x v="86"/>
    <x v="6"/>
    <n v="34"/>
    <n v="15"/>
    <n v="43"/>
    <n v="63"/>
    <n v="54"/>
    <n v="209"/>
    <n v="500"/>
    <n v="0.41799999999999998"/>
    <n v="0.58200000000000007"/>
  </r>
  <r>
    <s v="Mum-TCL088"/>
    <x v="87"/>
    <x v="7"/>
    <n v="32"/>
    <n v="79"/>
    <n v="65"/>
    <n v="57"/>
    <n v="73"/>
    <n v="306"/>
    <n v="500"/>
    <n v="0.61199999999999999"/>
    <n v="0.38800000000000001"/>
  </r>
  <r>
    <s v="Mum-TCL089"/>
    <x v="88"/>
    <x v="0"/>
    <n v="72"/>
    <n v="82"/>
    <n v="58"/>
    <n v="36"/>
    <n v="33"/>
    <n v="281"/>
    <n v="500"/>
    <n v="0.56200000000000006"/>
    <n v="0.43799999999999994"/>
  </r>
  <r>
    <s v="Mum-TCL090"/>
    <x v="89"/>
    <x v="1"/>
    <n v="11"/>
    <n v="69"/>
    <n v="49"/>
    <n v="90"/>
    <n v="99"/>
    <n v="318"/>
    <n v="500"/>
    <n v="0.63600000000000001"/>
    <n v="0.36399999999999999"/>
  </r>
  <r>
    <s v="Mum-TCL091"/>
    <x v="90"/>
    <x v="2"/>
    <n v="80"/>
    <n v="73"/>
    <n v="21"/>
    <n v="72"/>
    <n v="54"/>
    <n v="300"/>
    <n v="500"/>
    <n v="0.6"/>
    <n v="0.4"/>
  </r>
  <r>
    <s v="Mum-TCL092"/>
    <x v="91"/>
    <x v="3"/>
    <n v="93"/>
    <n v="42"/>
    <n v="38"/>
    <n v="98"/>
    <n v="10"/>
    <n v="281"/>
    <n v="500"/>
    <n v="0.56200000000000006"/>
    <n v="0.43799999999999994"/>
  </r>
  <r>
    <s v="Mum-TCL093"/>
    <x v="92"/>
    <x v="4"/>
    <n v="18"/>
    <n v="80"/>
    <n v="20"/>
    <n v="32"/>
    <n v="95"/>
    <n v="245"/>
    <n v="500"/>
    <n v="0.49"/>
    <n v="0.51"/>
  </r>
  <r>
    <s v="Mum-TCL094"/>
    <x v="93"/>
    <x v="5"/>
    <n v="96"/>
    <n v="14"/>
    <n v="20"/>
    <n v="31"/>
    <n v="44"/>
    <n v="205"/>
    <n v="500"/>
    <n v="0.41"/>
    <n v="0.59000000000000008"/>
  </r>
  <r>
    <s v="Mum-TCL095"/>
    <x v="94"/>
    <x v="6"/>
    <n v="37"/>
    <n v="60"/>
    <n v="50"/>
    <n v="68"/>
    <n v="19"/>
    <n v="234"/>
    <n v="500"/>
    <n v="0.46800000000000003"/>
    <n v="0.53200000000000003"/>
  </r>
  <r>
    <s v="Mum-TCL096"/>
    <x v="95"/>
    <x v="7"/>
    <n v="35"/>
    <n v="79"/>
    <n v="17"/>
    <n v="85"/>
    <n v="16"/>
    <n v="232"/>
    <n v="500"/>
    <n v="0.46400000000000002"/>
    <n v="0.53600000000000003"/>
  </r>
  <r>
    <s v="Mum-TCL097"/>
    <x v="96"/>
    <x v="0"/>
    <n v="31"/>
    <n v="48"/>
    <n v="56"/>
    <n v="85"/>
    <n v="25"/>
    <n v="245"/>
    <n v="500"/>
    <n v="0.49"/>
    <n v="0.51"/>
  </r>
  <r>
    <s v="Mum-TCL098"/>
    <x v="97"/>
    <x v="1"/>
    <n v="23"/>
    <n v="83"/>
    <n v="86"/>
    <n v="69"/>
    <n v="25"/>
    <n v="286"/>
    <n v="500"/>
    <n v="0.57199999999999995"/>
    <n v="0.42800000000000005"/>
  </r>
  <r>
    <s v="Mum-TCL099"/>
    <x v="98"/>
    <x v="2"/>
    <n v="17"/>
    <n v="97"/>
    <n v="81"/>
    <n v="32"/>
    <n v="76"/>
    <n v="303"/>
    <n v="500"/>
    <n v="0.60599999999999998"/>
    <n v="0.39400000000000002"/>
  </r>
  <r>
    <s v="Mum-TCL100"/>
    <x v="99"/>
    <x v="3"/>
    <n v="92"/>
    <n v="45"/>
    <n v="43"/>
    <n v="91"/>
    <n v="47"/>
    <n v="318"/>
    <n v="500"/>
    <n v="0.63600000000000001"/>
    <n v="0.36399999999999999"/>
  </r>
  <r>
    <s v="Mum-TCL101"/>
    <x v="100"/>
    <x v="4"/>
    <n v="49"/>
    <n v="77"/>
    <n v="18"/>
    <n v="69"/>
    <n v="55"/>
    <n v="268"/>
    <n v="500"/>
    <n v="0.53600000000000003"/>
    <n v="0.46399999999999997"/>
  </r>
  <r>
    <s v="Mum-TCL102"/>
    <x v="101"/>
    <x v="5"/>
    <n v="81"/>
    <n v="88"/>
    <n v="19"/>
    <n v="95"/>
    <n v="39"/>
    <n v="322"/>
    <n v="500"/>
    <n v="0.64400000000000002"/>
    <n v="0.35599999999999998"/>
  </r>
  <r>
    <s v="Mum-TCL103"/>
    <x v="102"/>
    <x v="6"/>
    <n v="55"/>
    <n v="14"/>
    <n v="41"/>
    <n v="40"/>
    <n v="70"/>
    <n v="220"/>
    <n v="500"/>
    <n v="0.44"/>
    <n v="0.56000000000000005"/>
  </r>
  <r>
    <s v="Mum-TCL104"/>
    <x v="103"/>
    <x v="7"/>
    <n v="86"/>
    <n v="13"/>
    <n v="99"/>
    <n v="25"/>
    <n v="83"/>
    <n v="306"/>
    <n v="500"/>
    <n v="0.61199999999999999"/>
    <n v="0.38800000000000001"/>
  </r>
  <r>
    <s v="Mum-TCL105"/>
    <x v="104"/>
    <x v="0"/>
    <n v="88"/>
    <n v="96"/>
    <n v="16"/>
    <n v="65"/>
    <n v="86"/>
    <n v="351"/>
    <n v="500"/>
    <n v="0.70199999999999996"/>
    <n v="0.29800000000000004"/>
  </r>
  <r>
    <s v="Mum-TCL106"/>
    <x v="105"/>
    <x v="1"/>
    <n v="61"/>
    <n v="73"/>
    <n v="34"/>
    <n v="30"/>
    <n v="30"/>
    <n v="228"/>
    <n v="500"/>
    <n v="0.45600000000000002"/>
    <n v="0.54400000000000004"/>
  </r>
  <r>
    <s v="Mum-TCL107"/>
    <x v="106"/>
    <x v="2"/>
    <n v="61"/>
    <n v="91"/>
    <n v="53"/>
    <n v="78"/>
    <n v="91"/>
    <n v="374"/>
    <n v="500"/>
    <n v="0.748"/>
    <n v="0.252"/>
  </r>
  <r>
    <s v="Mum-TCL108"/>
    <x v="107"/>
    <x v="3"/>
    <n v="75"/>
    <n v="53"/>
    <n v="27"/>
    <n v="26"/>
    <n v="30"/>
    <n v="211"/>
    <n v="500"/>
    <n v="0.42199999999999999"/>
    <n v="0.57800000000000007"/>
  </r>
  <r>
    <s v="Mum-TCL109"/>
    <x v="108"/>
    <x v="4"/>
    <n v="24"/>
    <n v="31"/>
    <n v="41"/>
    <n v="57"/>
    <n v="83"/>
    <n v="236"/>
    <n v="500"/>
    <n v="0.47199999999999998"/>
    <n v="0.52800000000000002"/>
  </r>
  <r>
    <s v="Mum-TCL110"/>
    <x v="109"/>
    <x v="5"/>
    <n v="83"/>
    <n v="62"/>
    <n v="32"/>
    <n v="83"/>
    <n v="95"/>
    <n v="355"/>
    <n v="500"/>
    <n v="0.71"/>
    <n v="0.29000000000000004"/>
  </r>
  <r>
    <s v="Mum-TCL111"/>
    <x v="110"/>
    <x v="6"/>
    <n v="39"/>
    <n v="52"/>
    <n v="72"/>
    <n v="99"/>
    <n v="58"/>
    <n v="320"/>
    <n v="500"/>
    <n v="0.64"/>
    <n v="0.36"/>
  </r>
  <r>
    <s v="Mum-TCL112"/>
    <x v="111"/>
    <x v="7"/>
    <n v="93"/>
    <n v="74"/>
    <n v="85"/>
    <n v="47"/>
    <n v="90"/>
    <n v="389"/>
    <n v="500"/>
    <n v="0.77800000000000002"/>
    <n v="0.22199999999999998"/>
  </r>
  <r>
    <s v="Mum-TCL113"/>
    <x v="112"/>
    <x v="0"/>
    <n v="43"/>
    <n v="88"/>
    <n v="35"/>
    <n v="54"/>
    <n v="91"/>
    <n v="311"/>
    <n v="500"/>
    <n v="0.622"/>
    <n v="0.378"/>
  </r>
  <r>
    <s v="Mum-TCL114"/>
    <x v="113"/>
    <x v="1"/>
    <n v="87"/>
    <n v="15"/>
    <n v="11"/>
    <n v="42"/>
    <n v="88"/>
    <n v="243"/>
    <n v="500"/>
    <n v="0.48599999999999999"/>
    <n v="0.51400000000000001"/>
  </r>
  <r>
    <s v="Mum-TCL115"/>
    <x v="114"/>
    <x v="2"/>
    <n v="45"/>
    <n v="45"/>
    <n v="61"/>
    <n v="11"/>
    <n v="52"/>
    <n v="214"/>
    <n v="500"/>
    <n v="0.42799999999999999"/>
    <n v="0.57200000000000006"/>
  </r>
  <r>
    <s v="Mum-TCL116"/>
    <x v="115"/>
    <x v="3"/>
    <n v="71"/>
    <n v="42"/>
    <n v="17"/>
    <n v="57"/>
    <n v="96"/>
    <n v="283"/>
    <n v="500"/>
    <n v="0.56599999999999995"/>
    <n v="0.43400000000000005"/>
  </r>
  <r>
    <s v="Mum-TCL117"/>
    <x v="116"/>
    <x v="4"/>
    <n v="26"/>
    <n v="65"/>
    <n v="17"/>
    <n v="28"/>
    <n v="30"/>
    <n v="166"/>
    <n v="500"/>
    <n v="0.33200000000000002"/>
    <n v="0.66799999999999993"/>
  </r>
  <r>
    <s v="Mum-TCL118"/>
    <x v="117"/>
    <x v="5"/>
    <n v="26"/>
    <n v="61"/>
    <n v="89"/>
    <n v="71"/>
    <n v="33"/>
    <n v="280"/>
    <n v="500"/>
    <n v="0.56000000000000005"/>
    <n v="0.43999999999999995"/>
  </r>
  <r>
    <s v="Mum-TCL119"/>
    <x v="118"/>
    <x v="6"/>
    <n v="93"/>
    <n v="11"/>
    <n v="93"/>
    <n v="31"/>
    <n v="30"/>
    <n v="258"/>
    <n v="500"/>
    <n v="0.51600000000000001"/>
    <n v="0.48399999999999999"/>
  </r>
  <r>
    <s v="Mum-TCL120"/>
    <x v="119"/>
    <x v="7"/>
    <n v="65"/>
    <n v="92"/>
    <n v="48"/>
    <n v="96"/>
    <n v="15"/>
    <n v="316"/>
    <n v="500"/>
    <n v="0.63200000000000001"/>
    <n v="0.36799999999999999"/>
  </r>
  <r>
    <s v="Mum-TCL121"/>
    <x v="120"/>
    <x v="0"/>
    <n v="91"/>
    <n v="38"/>
    <n v="33"/>
    <n v="55"/>
    <n v="83"/>
    <n v="300"/>
    <n v="500"/>
    <n v="0.6"/>
    <n v="0.4"/>
  </r>
  <r>
    <s v="Mum-TCL122"/>
    <x v="121"/>
    <x v="1"/>
    <n v="20"/>
    <n v="94"/>
    <n v="45"/>
    <n v="70"/>
    <n v="98"/>
    <n v="327"/>
    <n v="500"/>
    <n v="0.65400000000000003"/>
    <n v="0.34599999999999997"/>
  </r>
  <r>
    <s v="Mum-TCL123"/>
    <x v="122"/>
    <x v="2"/>
    <n v="25"/>
    <n v="83"/>
    <n v="26"/>
    <n v="68"/>
    <n v="22"/>
    <n v="224"/>
    <n v="500"/>
    <n v="0.44800000000000001"/>
    <n v="0.55200000000000005"/>
  </r>
  <r>
    <s v="Mum-TCL124"/>
    <x v="123"/>
    <x v="3"/>
    <n v="26"/>
    <n v="16"/>
    <n v="61"/>
    <n v="92"/>
    <n v="50"/>
    <n v="245"/>
    <n v="500"/>
    <n v="0.49"/>
    <n v="0.51"/>
  </r>
  <r>
    <s v="Mum-TCL125"/>
    <x v="124"/>
    <x v="4"/>
    <n v="31"/>
    <n v="55"/>
    <n v="75"/>
    <n v="66"/>
    <n v="75"/>
    <n v="302"/>
    <n v="500"/>
    <n v="0.60399999999999998"/>
    <n v="0.39600000000000002"/>
  </r>
  <r>
    <s v="Mum-TCL126"/>
    <x v="125"/>
    <x v="5"/>
    <n v="41"/>
    <n v="66"/>
    <n v="48"/>
    <n v="70"/>
    <n v="48"/>
    <n v="273"/>
    <n v="500"/>
    <n v="0.54600000000000004"/>
    <n v="0.45399999999999996"/>
  </r>
  <r>
    <s v="Mum-TCL127"/>
    <x v="126"/>
    <x v="6"/>
    <n v="60"/>
    <n v="92"/>
    <n v="32"/>
    <n v="60"/>
    <n v="78"/>
    <n v="322"/>
    <n v="500"/>
    <n v="0.64400000000000002"/>
    <n v="0.35599999999999998"/>
  </r>
  <r>
    <s v="Mum-TCL128"/>
    <x v="127"/>
    <x v="7"/>
    <n v="42"/>
    <n v="24"/>
    <n v="19"/>
    <n v="82"/>
    <n v="16"/>
    <n v="183"/>
    <n v="500"/>
    <n v="0.36599999999999999"/>
    <n v="0.63400000000000001"/>
  </r>
  <r>
    <s v="Mum-TCL129"/>
    <x v="128"/>
    <x v="0"/>
    <n v="26"/>
    <n v="85"/>
    <n v="75"/>
    <n v="83"/>
    <n v="37"/>
    <n v="306"/>
    <n v="500"/>
    <n v="0.61199999999999999"/>
    <n v="0.38800000000000001"/>
  </r>
  <r>
    <s v="Mum-TCL130"/>
    <x v="129"/>
    <x v="1"/>
    <n v="81"/>
    <n v="68"/>
    <n v="74"/>
    <n v="72"/>
    <n v="12"/>
    <n v="307"/>
    <n v="500"/>
    <n v="0.61399999999999999"/>
    <n v="0.38600000000000001"/>
  </r>
  <r>
    <s v="Mum-TCL131"/>
    <x v="130"/>
    <x v="2"/>
    <n v="90"/>
    <n v="79"/>
    <n v="99"/>
    <n v="60"/>
    <n v="27"/>
    <n v="355"/>
    <n v="500"/>
    <n v="0.71"/>
    <n v="0.29000000000000004"/>
  </r>
  <r>
    <s v="Mum-TCL132"/>
    <x v="131"/>
    <x v="3"/>
    <n v="71"/>
    <n v="21"/>
    <n v="70"/>
    <n v="53"/>
    <n v="49"/>
    <n v="264"/>
    <n v="500"/>
    <n v="0.52800000000000002"/>
    <n v="0.47199999999999998"/>
  </r>
  <r>
    <s v="Mum-TCL133"/>
    <x v="132"/>
    <x v="4"/>
    <n v="86"/>
    <n v="60"/>
    <n v="59"/>
    <n v="51"/>
    <n v="90"/>
    <n v="346"/>
    <n v="500"/>
    <n v="0.69199999999999995"/>
    <n v="0.30800000000000005"/>
  </r>
  <r>
    <s v="Mum-TCL134"/>
    <x v="133"/>
    <x v="5"/>
    <n v="68"/>
    <n v="61"/>
    <n v="12"/>
    <n v="41"/>
    <n v="35"/>
    <n v="217"/>
    <n v="500"/>
    <n v="0.434"/>
    <n v="0.56600000000000006"/>
  </r>
  <r>
    <s v="Mum-TCL135"/>
    <x v="134"/>
    <x v="6"/>
    <n v="65"/>
    <n v="34"/>
    <n v="15"/>
    <n v="86"/>
    <n v="71"/>
    <n v="271"/>
    <n v="500"/>
    <n v="0.54200000000000004"/>
    <n v="0.45799999999999996"/>
  </r>
  <r>
    <s v="Mum-TCL136"/>
    <x v="135"/>
    <x v="7"/>
    <n v="91"/>
    <n v="21"/>
    <n v="59"/>
    <n v="85"/>
    <n v="60"/>
    <n v="316"/>
    <n v="500"/>
    <n v="0.63200000000000001"/>
    <n v="0.36799999999999999"/>
  </r>
  <r>
    <s v="Mum-TCL137"/>
    <x v="136"/>
    <x v="0"/>
    <n v="73"/>
    <n v="67"/>
    <n v="49"/>
    <n v="56"/>
    <n v="43"/>
    <n v="288"/>
    <n v="500"/>
    <n v="0.57599999999999996"/>
    <n v="0.42400000000000004"/>
  </r>
  <r>
    <s v="Mum-TCL138"/>
    <x v="137"/>
    <x v="1"/>
    <n v="72"/>
    <n v="49"/>
    <n v="93"/>
    <n v="95"/>
    <n v="73"/>
    <n v="382"/>
    <n v="500"/>
    <n v="0.76400000000000001"/>
    <n v="0.23599999999999999"/>
  </r>
  <r>
    <s v="Mum-TCL139"/>
    <x v="138"/>
    <x v="2"/>
    <n v="85"/>
    <n v="43"/>
    <n v="74"/>
    <n v="26"/>
    <n v="88"/>
    <n v="316"/>
    <n v="500"/>
    <n v="0.63200000000000001"/>
    <n v="0.36799999999999999"/>
  </r>
  <r>
    <s v="Mum-TCL140"/>
    <x v="139"/>
    <x v="3"/>
    <n v="77"/>
    <n v="81"/>
    <n v="10"/>
    <n v="65"/>
    <n v="83"/>
    <n v="316"/>
    <n v="500"/>
    <n v="0.63200000000000001"/>
    <n v="0.36799999999999999"/>
  </r>
  <r>
    <s v="Mum-TCL141"/>
    <x v="140"/>
    <x v="4"/>
    <n v="46"/>
    <n v="52"/>
    <n v="57"/>
    <n v="67"/>
    <n v="64"/>
    <n v="286"/>
    <n v="500"/>
    <n v="0.57199999999999995"/>
    <n v="0.428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8BD95C-3228-495D-A037-BADB4164934C}" name="PivotTable3" cacheId="3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2">
  <location ref="G3:H9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x="3"/>
        <item h="1" x="1"/>
        <item h="1"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1"/>
  </rowFields>
  <rowItems count="6">
    <i>
      <x v="1"/>
    </i>
    <i>
      <x v="43"/>
    </i>
    <i>
      <x v="59"/>
    </i>
    <i>
      <x v="116"/>
    </i>
    <i>
      <x v="132"/>
    </i>
    <i t="grand">
      <x/>
    </i>
  </rowItems>
  <colItems count="1">
    <i/>
  </colItems>
  <dataFields count="1">
    <dataField name="Sum of Target Hit %" fld="10" baseField="0" baseItem="0" numFmtId="10"/>
  </dataFields>
  <formats count="12">
    <format dxfId="36">
      <pivotArea type="all" dataOnly="0" outline="0" fieldPosition="0"/>
    </format>
    <format dxfId="37">
      <pivotArea outline="0" collapsedLevelsAreSubtotals="1" fieldPosition="0"/>
    </format>
    <format dxfId="38">
      <pivotArea field="1" type="button" dataOnly="0" labelOnly="1" outline="0" axis="axisRow" fieldPosition="0"/>
    </format>
    <format dxfId="39">
      <pivotArea dataOnly="0" labelOnly="1" outline="0" fieldPosition="0">
        <references count="1">
          <reference field="1" count="5">
            <x v="3"/>
            <x v="15"/>
            <x v="31"/>
            <x v="59"/>
            <x v="79"/>
          </reference>
        </references>
      </pivotArea>
    </format>
    <format dxfId="40">
      <pivotArea dataOnly="0" labelOnly="1" grandRow="1" outline="0" fieldPosition="0"/>
    </format>
    <format dxfId="41">
      <pivotArea dataOnly="0" labelOnly="1" outline="0" axis="axisValues" fieldPosition="0"/>
    </format>
    <format dxfId="42">
      <pivotArea type="all" dataOnly="0" outline="0" fieldPosition="0"/>
    </format>
    <format dxfId="43">
      <pivotArea outline="0" collapsedLevelsAreSubtotals="1" fieldPosition="0"/>
    </format>
    <format dxfId="44">
      <pivotArea field="1" type="button" dataOnly="0" labelOnly="1" outline="0" axis="axisRow" fieldPosition="0"/>
    </format>
    <format dxfId="45">
      <pivotArea dataOnly="0" labelOnly="1" outline="0" fieldPosition="0">
        <references count="1">
          <reference field="1" count="5">
            <x v="3"/>
            <x v="15"/>
            <x v="31"/>
            <x v="59"/>
            <x v="79"/>
          </reference>
        </references>
      </pivotArea>
    </format>
    <format dxfId="46">
      <pivotArea dataOnly="0" labelOnly="1" grandRow="1" outline="0" fieldPosition="0"/>
    </format>
    <format dxfId="47">
      <pivotArea dataOnly="0" labelOnly="1" outline="0" axis="axisValues" fieldPosition="0"/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6F811B-C004-4FB7-8F1B-E5F9ABC78F53}" name="PivotTable2" cacheId="3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D3:E9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x="3"/>
        <item h="1" x="1"/>
        <item h="1"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10" outline="0" showAll="0"/>
    <pivotField compact="0" numFmtId="10" outline="0" showAll="0"/>
  </pivotFields>
  <rowFields count="1">
    <field x="1"/>
  </rowFields>
  <rowItems count="6">
    <i>
      <x v="19"/>
    </i>
    <i>
      <x v="35"/>
    </i>
    <i>
      <x v="92"/>
    </i>
    <i>
      <x v="100"/>
    </i>
    <i>
      <x v="108"/>
    </i>
    <i t="grand">
      <x/>
    </i>
  </rowItems>
  <colItems count="1">
    <i/>
  </colItems>
  <dataFields count="1">
    <dataField name="Sum of Total Sales" fld="8" baseField="0" baseItem="0"/>
  </dataFields>
  <formats count="12">
    <format dxfId="24">
      <pivotArea type="all" dataOnly="0" outline="0" fieldPosition="0"/>
    </format>
    <format dxfId="25">
      <pivotArea outline="0" collapsedLevelsAreSubtotals="1" fieldPosition="0"/>
    </format>
    <format dxfId="26">
      <pivotArea field="1" type="button" dataOnly="0" labelOnly="1" outline="0" axis="axisRow" fieldPosition="0"/>
    </format>
    <format dxfId="27">
      <pivotArea dataOnly="0" labelOnly="1" outline="0" fieldPosition="0">
        <references count="1">
          <reference field="1" count="5">
            <x v="26"/>
            <x v="70"/>
            <x v="72"/>
            <x v="74"/>
            <x v="77"/>
          </reference>
        </references>
      </pivotArea>
    </format>
    <format dxfId="28">
      <pivotArea dataOnly="0" labelOnly="1" grandRow="1" outline="0" fieldPosition="0"/>
    </format>
    <format dxfId="29">
      <pivotArea dataOnly="0" labelOnly="1" outline="0" axis="axisValues" fieldPosition="0"/>
    </format>
    <format dxfId="30">
      <pivotArea type="all" dataOnly="0" outline="0" fieldPosition="0"/>
    </format>
    <format dxfId="31">
      <pivotArea outline="0" collapsedLevelsAreSubtotals="1" fieldPosition="0"/>
    </format>
    <format dxfId="32">
      <pivotArea field="1" type="button" dataOnly="0" labelOnly="1" outline="0" axis="axisRow" fieldPosition="0"/>
    </format>
    <format dxfId="33">
      <pivotArea dataOnly="0" labelOnly="1" outline="0" fieldPosition="0">
        <references count="1">
          <reference field="1" count="5">
            <x v="26"/>
            <x v="70"/>
            <x v="72"/>
            <x v="74"/>
            <x v="77"/>
          </reference>
        </references>
      </pivotArea>
    </format>
    <format dxfId="34">
      <pivotArea dataOnly="0" labelOnly="1" grandRow="1" outline="0" fieldPosition="0"/>
    </format>
    <format dxfId="35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E45DE3-2B28-4A8A-AD65-623F01F95456}" name="PivotTable1" cacheId="3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B9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x="3"/>
        <item h="1" x="1"/>
        <item h="1"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10" outline="0" showAll="0"/>
    <pivotField compact="0" numFmtId="10" outline="0" showAll="0"/>
  </pivotFields>
  <rowFields count="1">
    <field x="1"/>
  </rowFields>
  <rowItems count="6">
    <i>
      <x v="1"/>
    </i>
    <i>
      <x v="43"/>
    </i>
    <i>
      <x v="59"/>
    </i>
    <i>
      <x v="116"/>
    </i>
    <i>
      <x v="132"/>
    </i>
    <i t="grand">
      <x/>
    </i>
  </rowItems>
  <colItems count="1">
    <i/>
  </colItems>
  <dataFields count="1">
    <dataField name="Sum of Total Sales" fld="8" baseField="0" baseItem="0"/>
  </dataFields>
  <formats count="12">
    <format dxfId="12">
      <pivotArea type="all" dataOnly="0" outline="0" fieldPosition="0"/>
    </format>
    <format dxfId="13">
      <pivotArea outline="0" collapsedLevelsAreSubtotals="1" fieldPosition="0"/>
    </format>
    <format dxfId="14">
      <pivotArea field="1" type="button" dataOnly="0" labelOnly="1" outline="0" axis="axisRow" fieldPosition="0"/>
    </format>
    <format dxfId="15">
      <pivotArea dataOnly="0" labelOnly="1" outline="0" fieldPosition="0">
        <references count="1">
          <reference field="1" count="5">
            <x v="3"/>
            <x v="15"/>
            <x v="31"/>
            <x v="59"/>
            <x v="79"/>
          </reference>
        </references>
      </pivotArea>
    </format>
    <format dxfId="16">
      <pivotArea dataOnly="0" labelOnly="1" grandRow="1" outline="0" fieldPosition="0"/>
    </format>
    <format dxfId="17">
      <pivotArea dataOnly="0" labelOnly="1" outline="0" axis="axisValues" fieldPosition="0"/>
    </format>
    <format dxfId="18">
      <pivotArea type="all" dataOnly="0" outline="0" fieldPosition="0"/>
    </format>
    <format dxfId="19">
      <pivotArea outline="0" collapsedLevelsAreSubtotals="1" fieldPosition="0"/>
    </format>
    <format dxfId="20">
      <pivotArea field="1" type="button" dataOnly="0" labelOnly="1" outline="0" axis="axisRow" fieldPosition="0"/>
    </format>
    <format dxfId="21">
      <pivotArea dataOnly="0" labelOnly="1" outline="0" fieldPosition="0">
        <references count="1">
          <reference field="1" count="5">
            <x v="3"/>
            <x v="15"/>
            <x v="31"/>
            <x v="59"/>
            <x v="79"/>
          </reference>
        </references>
      </pivotArea>
    </format>
    <format dxfId="22">
      <pivotArea dataOnly="0" labelOnly="1" grandRow="1" outline="0" fieldPosition="0"/>
    </format>
    <format dxfId="23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3A544-F1BC-4492-9F3B-91961462B99B}" name="PivotTable4" cacheId="3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J3:K9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x="3"/>
        <item h="1" x="1"/>
        <item h="1"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1"/>
  </rowFields>
  <rowItems count="6">
    <i>
      <x v="19"/>
    </i>
    <i>
      <x v="35"/>
    </i>
    <i>
      <x v="92"/>
    </i>
    <i>
      <x v="100"/>
    </i>
    <i>
      <x v="108"/>
    </i>
    <i t="grand">
      <x/>
    </i>
  </rowItems>
  <colItems count="1">
    <i/>
  </colItems>
  <dataFields count="1">
    <dataField name="Sum of Away From Target %" fld="11" baseField="0" baseItem="0" numFmtId="10"/>
  </dataFields>
  <formats count="12">
    <format dxfId="0">
      <pivotArea type="all" dataOnly="0" outline="0" fieldPosition="0"/>
    </format>
    <format dxfId="1">
      <pivotArea outline="0" collapsedLevelsAreSubtotals="1" fieldPosition="0"/>
    </format>
    <format dxfId="2">
      <pivotArea field="1" type="button" dataOnly="0" labelOnly="1" outline="0" axis="axisRow" fieldPosition="0"/>
    </format>
    <format dxfId="3">
      <pivotArea dataOnly="0" labelOnly="1" outline="0" fieldPosition="0">
        <references count="1">
          <reference field="1" count="5">
            <x v="26"/>
            <x v="70"/>
            <x v="72"/>
            <x v="74"/>
            <x v="77"/>
          </reference>
        </references>
      </pivotArea>
    </format>
    <format dxfId="4">
      <pivotArea dataOnly="0" labelOnly="1" grandRow="1" outline="0" fieldPosition="0"/>
    </format>
    <format dxfId="5">
      <pivotArea dataOnly="0" labelOnly="1" outline="0" axis="axisValues" fieldPosition="0"/>
    </format>
    <format dxfId="6">
      <pivotArea type="all" dataOnly="0" outline="0" fieldPosition="0"/>
    </format>
    <format dxfId="7">
      <pivotArea outline="0" collapsedLevelsAreSubtotals="1" fieldPosition="0"/>
    </format>
    <format dxfId="8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1" count="5">
            <x v="26"/>
            <x v="70"/>
            <x v="72"/>
            <x v="74"/>
            <x v="77"/>
          </reference>
        </references>
      </pivotArea>
    </format>
    <format dxfId="10">
      <pivotArea dataOnly="0" labelOnly="1" grandRow="1" outline="0" fieldPosition="0"/>
    </format>
    <format dxfId="1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egion" xr10:uid="{32C92E7A-2FD3-4288-888C-F7E418483CBD}" sourceName="Region">
  <pivotTables>
    <pivotTable tabId="2" name="PivotTable1"/>
    <pivotTable tabId="2" name="PivotTable3"/>
    <pivotTable tabId="2" name="PivotTable2"/>
    <pivotTable tabId="2" name="PivotTable4"/>
  </pivotTables>
  <data>
    <tabular pivotCacheId="635226899">
      <items count="8">
        <i x="3" s="1"/>
        <i x="1"/>
        <i x="0"/>
        <i x="2"/>
        <i x="5"/>
        <i x="4"/>
        <i x="6"/>
        <i x="7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412F396F-A27A-481D-A2AE-9B479BDE5A04}" cache="Slicer_Region" caption="Region" columnCount="8" showCaption="0" rowHeight="276225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A4B68-FFD3-4288-BA80-774E388B93C6}">
  <dimension ref="A1:K23"/>
  <sheetViews>
    <sheetView workbookViewId="0">
      <selection activeCell="G1" sqref="G1"/>
    </sheetView>
  </sheetViews>
  <sheetFormatPr defaultRowHeight="15"/>
  <cols>
    <col min="1" max="1" width="18" bestFit="1" customWidth="1"/>
    <col min="2" max="2" width="17.7109375" bestFit="1" customWidth="1"/>
    <col min="4" max="4" width="18" bestFit="1" customWidth="1"/>
    <col min="5" max="5" width="17.7109375" bestFit="1" customWidth="1"/>
    <col min="7" max="7" width="18" bestFit="1" customWidth="1"/>
    <col min="8" max="8" width="19" bestFit="1" customWidth="1"/>
    <col min="10" max="10" width="18" bestFit="1" customWidth="1"/>
    <col min="11" max="11" width="26.7109375" bestFit="1" customWidth="1"/>
    <col min="12" max="12" width="19" bestFit="1" customWidth="1"/>
  </cols>
  <sheetData>
    <row r="1" spans="1:11" ht="20.25" customHeight="1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1" ht="26.25" customHeight="1">
      <c r="A2" s="12"/>
      <c r="B2" s="12"/>
      <c r="C2" s="12"/>
      <c r="D2" s="12" t="s">
        <v>0</v>
      </c>
      <c r="E2" s="12"/>
      <c r="F2" s="12"/>
      <c r="G2" s="12"/>
      <c r="H2" s="12"/>
      <c r="I2" s="12"/>
      <c r="J2" s="12"/>
      <c r="K2" s="12"/>
    </row>
    <row r="3" spans="1:11">
      <c r="A3" s="9" t="s">
        <v>1</v>
      </c>
      <c r="B3" s="9" t="s">
        <v>2</v>
      </c>
      <c r="C3" s="9"/>
      <c r="D3" s="9" t="s">
        <v>1</v>
      </c>
      <c r="E3" s="9" t="s">
        <v>2</v>
      </c>
      <c r="F3" s="9"/>
      <c r="G3" s="9" t="s">
        <v>1</v>
      </c>
      <c r="H3" s="9" t="s">
        <v>3</v>
      </c>
      <c r="I3" s="9"/>
      <c r="J3" s="9" t="s">
        <v>1</v>
      </c>
      <c r="K3" s="9" t="s">
        <v>4</v>
      </c>
    </row>
    <row r="4" spans="1:11">
      <c r="A4" s="9" t="s">
        <v>5</v>
      </c>
      <c r="B4" s="10">
        <v>316</v>
      </c>
      <c r="C4" s="9"/>
      <c r="D4" s="9" t="s">
        <v>6</v>
      </c>
      <c r="E4" s="10">
        <v>245</v>
      </c>
      <c r="F4" s="9"/>
      <c r="G4" s="9" t="s">
        <v>5</v>
      </c>
      <c r="H4" s="11">
        <v>0.63200000000000001</v>
      </c>
      <c r="I4" s="9"/>
      <c r="J4" s="9" t="s">
        <v>6</v>
      </c>
      <c r="K4" s="11">
        <v>0.51</v>
      </c>
    </row>
    <row r="5" spans="1:11">
      <c r="A5" s="9" t="s">
        <v>7</v>
      </c>
      <c r="B5" s="10">
        <v>318</v>
      </c>
      <c r="C5" s="9"/>
      <c r="D5" s="9" t="s">
        <v>8</v>
      </c>
      <c r="E5" s="10">
        <v>211</v>
      </c>
      <c r="F5" s="9"/>
      <c r="G5" s="9" t="s">
        <v>7</v>
      </c>
      <c r="H5" s="11">
        <v>0.63600000000000001</v>
      </c>
      <c r="I5" s="9"/>
      <c r="J5" s="9" t="s">
        <v>8</v>
      </c>
      <c r="K5" s="11">
        <v>0.57800000000000007</v>
      </c>
    </row>
    <row r="6" spans="1:11">
      <c r="A6" s="9" t="s">
        <v>9</v>
      </c>
      <c r="B6" s="10">
        <v>384</v>
      </c>
      <c r="C6" s="9"/>
      <c r="D6" s="9" t="s">
        <v>10</v>
      </c>
      <c r="E6" s="10">
        <v>249</v>
      </c>
      <c r="F6" s="9"/>
      <c r="G6" s="9" t="s">
        <v>9</v>
      </c>
      <c r="H6" s="11">
        <v>0.76800000000000002</v>
      </c>
      <c r="I6" s="9"/>
      <c r="J6" s="9" t="s">
        <v>10</v>
      </c>
      <c r="K6" s="11">
        <v>0.502</v>
      </c>
    </row>
    <row r="7" spans="1:11">
      <c r="A7" s="9" t="s">
        <v>11</v>
      </c>
      <c r="B7" s="10">
        <v>324</v>
      </c>
      <c r="C7" s="9"/>
      <c r="D7" s="9" t="s">
        <v>12</v>
      </c>
      <c r="E7" s="10">
        <v>213</v>
      </c>
      <c r="F7" s="9"/>
      <c r="G7" s="9" t="s">
        <v>11</v>
      </c>
      <c r="H7" s="11">
        <v>0.64800000000000002</v>
      </c>
      <c r="I7" s="9"/>
      <c r="J7" s="9" t="s">
        <v>12</v>
      </c>
      <c r="K7" s="11">
        <v>0.57400000000000007</v>
      </c>
    </row>
    <row r="8" spans="1:11">
      <c r="A8" s="9" t="s">
        <v>13</v>
      </c>
      <c r="B8" s="10">
        <v>376</v>
      </c>
      <c r="C8" s="9"/>
      <c r="D8" s="9" t="s">
        <v>14</v>
      </c>
      <c r="E8" s="10">
        <v>214</v>
      </c>
      <c r="F8" s="9"/>
      <c r="G8" s="9" t="s">
        <v>13</v>
      </c>
      <c r="H8" s="11">
        <v>0.752</v>
      </c>
      <c r="I8" s="9"/>
      <c r="J8" s="9" t="s">
        <v>14</v>
      </c>
      <c r="K8" s="11">
        <v>0.57200000000000006</v>
      </c>
    </row>
    <row r="9" spans="1:11">
      <c r="A9" s="9" t="s">
        <v>15</v>
      </c>
      <c r="B9" s="10">
        <v>1718</v>
      </c>
      <c r="C9" s="9"/>
      <c r="D9" s="9" t="s">
        <v>15</v>
      </c>
      <c r="E9" s="10">
        <v>1132</v>
      </c>
      <c r="F9" s="9"/>
      <c r="G9" s="9" t="s">
        <v>15</v>
      </c>
      <c r="H9" s="11">
        <v>3.4359999999999999</v>
      </c>
      <c r="I9" s="9"/>
      <c r="J9" s="9" t="s">
        <v>15</v>
      </c>
      <c r="K9" s="11">
        <v>2.7360000000000002</v>
      </c>
    </row>
    <row r="10" spans="1:11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</row>
    <row r="11" spans="1:11">
      <c r="A11" s="9"/>
      <c r="B11" s="9"/>
      <c r="C11" s="9"/>
      <c r="D11" s="13"/>
      <c r="E11" s="13"/>
      <c r="F11" s="13"/>
      <c r="G11" s="13"/>
      <c r="H11" s="13"/>
      <c r="I11" s="13"/>
      <c r="J11" s="13"/>
      <c r="K11" s="13"/>
    </row>
    <row r="12" spans="1:11">
      <c r="A12" s="9"/>
      <c r="B12" s="9"/>
      <c r="C12" s="9"/>
      <c r="D12" s="13"/>
      <c r="E12" s="13"/>
      <c r="F12" s="13"/>
      <c r="G12" s="13"/>
      <c r="H12" s="13"/>
      <c r="I12" s="13"/>
      <c r="J12" s="13"/>
      <c r="K12" s="13"/>
    </row>
    <row r="13" spans="1:11">
      <c r="A13" s="9"/>
      <c r="B13" s="9"/>
      <c r="C13" s="9"/>
      <c r="D13" s="13"/>
      <c r="E13" s="13"/>
      <c r="F13" s="13"/>
      <c r="G13" s="13"/>
      <c r="H13" s="13"/>
      <c r="I13" s="13"/>
      <c r="J13" s="13"/>
      <c r="K13" s="13"/>
    </row>
    <row r="14" spans="1:11">
      <c r="A14" s="9"/>
      <c r="B14" s="9"/>
      <c r="C14" s="9"/>
      <c r="D14" s="13"/>
      <c r="E14" s="13"/>
      <c r="F14" s="13"/>
      <c r="G14" s="13"/>
      <c r="H14" s="13"/>
      <c r="I14" s="13"/>
      <c r="J14" s="13"/>
      <c r="K14" s="13"/>
    </row>
    <row r="15" spans="1:11">
      <c r="A15" s="9"/>
      <c r="B15" s="9"/>
      <c r="C15" s="9"/>
      <c r="D15" s="13"/>
      <c r="E15" s="13"/>
      <c r="F15" s="13"/>
      <c r="G15" s="13"/>
      <c r="H15" s="13"/>
      <c r="I15" s="13"/>
      <c r="J15" s="13"/>
      <c r="K15" s="13"/>
    </row>
    <row r="16" spans="1:11">
      <c r="A16" s="9"/>
      <c r="B16" s="9"/>
      <c r="C16" s="9"/>
      <c r="D16" s="13"/>
      <c r="E16" s="13"/>
      <c r="F16" s="13"/>
      <c r="G16" s="13"/>
      <c r="H16" s="13"/>
      <c r="I16" s="13"/>
      <c r="J16" s="13"/>
      <c r="K16" s="13"/>
    </row>
    <row r="17" spans="1:11">
      <c r="A17" s="9"/>
      <c r="B17" s="9"/>
      <c r="C17" s="9"/>
      <c r="D17" s="13"/>
      <c r="E17" s="13"/>
      <c r="F17" s="13"/>
      <c r="G17" s="13"/>
      <c r="H17" s="13"/>
      <c r="I17" s="13"/>
      <c r="J17" s="13"/>
      <c r="K17" s="13"/>
    </row>
    <row r="18" spans="1:1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</row>
    <row r="19" spans="1:1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</row>
    <row r="20" spans="1:1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</row>
    <row r="21" spans="1:1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</row>
    <row r="22" spans="1:1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</row>
    <row r="23" spans="1:1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</row>
  </sheetData>
  <pageMargins left="0.7" right="0.7" top="0.75" bottom="0.75" header="0.3" footer="0.3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sqref="A1:L142"/>
    </sheetView>
  </sheetViews>
  <sheetFormatPr defaultRowHeight="14.45"/>
  <cols>
    <col min="1" max="1" width="11.42578125" bestFit="1" customWidth="1"/>
    <col min="2" max="2" width="20.28515625" customWidth="1"/>
    <col min="3" max="3" width="10.7109375" customWidth="1"/>
    <col min="4" max="4" width="8" customWidth="1"/>
    <col min="5" max="8" width="5" bestFit="1" customWidth="1"/>
    <col min="9" max="9" width="9.28515625" bestFit="1" customWidth="1"/>
    <col min="10" max="10" width="6" bestFit="1" customWidth="1"/>
    <col min="11" max="11" width="10.5703125" bestFit="1" customWidth="1"/>
    <col min="12" max="12" width="17.28515625" bestFit="1" customWidth="1"/>
  </cols>
  <sheetData>
    <row r="1" spans="1:12">
      <c r="A1" s="1" t="s">
        <v>16</v>
      </c>
      <c r="B1" s="1" t="s">
        <v>1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</row>
    <row r="2" spans="1:12">
      <c r="A2" s="2" t="s">
        <v>27</v>
      </c>
      <c r="B2" s="3" t="s">
        <v>28</v>
      </c>
      <c r="C2" s="3" t="s">
        <v>29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>
      <c r="A3" s="2" t="s">
        <v>30</v>
      </c>
      <c r="B3" s="3" t="s">
        <v>31</v>
      </c>
      <c r="C3" s="3" t="s">
        <v>32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>
      <c r="A4" s="2" t="s">
        <v>33</v>
      </c>
      <c r="B4" s="3" t="s">
        <v>34</v>
      </c>
      <c r="C4" s="3" t="s">
        <v>35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>
      <c r="A5" s="2" t="s">
        <v>36</v>
      </c>
      <c r="B5" s="3" t="s">
        <v>37</v>
      </c>
      <c r="C5" s="3" t="s">
        <v>38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>
      <c r="A6" s="2" t="s">
        <v>39</v>
      </c>
      <c r="B6" s="3" t="s">
        <v>40</v>
      </c>
      <c r="C6" s="3" t="s">
        <v>41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>
      <c r="A7" s="2" t="s">
        <v>42</v>
      </c>
      <c r="B7" s="3" t="s">
        <v>43</v>
      </c>
      <c r="C7" s="3" t="s">
        <v>44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>
      <c r="A8" s="2" t="s">
        <v>45</v>
      </c>
      <c r="B8" s="3" t="s">
        <v>46</v>
      </c>
      <c r="C8" s="3" t="s">
        <v>47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>
      <c r="A9" s="2" t="s">
        <v>48</v>
      </c>
      <c r="B9" s="3" t="s">
        <v>49</v>
      </c>
      <c r="C9" s="3" t="s">
        <v>50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>
      <c r="A10" s="2" t="s">
        <v>51</v>
      </c>
      <c r="B10" s="3" t="s">
        <v>52</v>
      </c>
      <c r="C10" s="3" t="s">
        <v>29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>
      <c r="A11" s="2" t="s">
        <v>53</v>
      </c>
      <c r="B11" s="3" t="s">
        <v>54</v>
      </c>
      <c r="C11" s="3" t="s">
        <v>32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>
      <c r="A12" s="2" t="s">
        <v>55</v>
      </c>
      <c r="B12" s="3" t="s">
        <v>56</v>
      </c>
      <c r="C12" s="3" t="s">
        <v>35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>
      <c r="A13" s="2" t="s">
        <v>57</v>
      </c>
      <c r="B13" s="3" t="s">
        <v>13</v>
      </c>
      <c r="C13" s="3" t="s">
        <v>38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>
      <c r="A14" s="2" t="s">
        <v>58</v>
      </c>
      <c r="B14" s="3" t="s">
        <v>59</v>
      </c>
      <c r="C14" s="3" t="s">
        <v>41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>
      <c r="A15" s="2" t="s">
        <v>60</v>
      </c>
      <c r="B15" s="3" t="s">
        <v>61</v>
      </c>
      <c r="C15" s="3" t="s">
        <v>44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>
      <c r="A16" s="2" t="s">
        <v>62</v>
      </c>
      <c r="B16" s="3" t="s">
        <v>63</v>
      </c>
      <c r="C16" s="3" t="s">
        <v>47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>
      <c r="A17" s="2" t="s">
        <v>64</v>
      </c>
      <c r="B17" s="3" t="s">
        <v>65</v>
      </c>
      <c r="C17" s="3" t="s">
        <v>50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>
      <c r="A18" s="2" t="s">
        <v>66</v>
      </c>
      <c r="B18" s="3" t="s">
        <v>67</v>
      </c>
      <c r="C18" s="3" t="s">
        <v>29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>
      <c r="A19" s="2" t="s">
        <v>68</v>
      </c>
      <c r="B19" s="3" t="s">
        <v>69</v>
      </c>
      <c r="C19" s="3" t="s">
        <v>32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>
      <c r="A20" s="2" t="s">
        <v>70</v>
      </c>
      <c r="B20" s="3" t="s">
        <v>71</v>
      </c>
      <c r="C20" s="3" t="s">
        <v>35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>
      <c r="A21" s="2" t="s">
        <v>72</v>
      </c>
      <c r="B21" s="3" t="s">
        <v>73</v>
      </c>
      <c r="C21" s="3" t="s">
        <v>38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>
      <c r="A22" s="2" t="s">
        <v>74</v>
      </c>
      <c r="B22" s="3" t="s">
        <v>75</v>
      </c>
      <c r="C22" s="3" t="s">
        <v>41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>
      <c r="A23" s="2" t="s">
        <v>76</v>
      </c>
      <c r="B23" s="3" t="s">
        <v>77</v>
      </c>
      <c r="C23" s="3" t="s">
        <v>44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>
      <c r="A24" s="2" t="s">
        <v>78</v>
      </c>
      <c r="B24" s="3" t="s">
        <v>79</v>
      </c>
      <c r="C24" s="3" t="s">
        <v>47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>
      <c r="A25" s="2" t="s">
        <v>80</v>
      </c>
      <c r="B25" s="3" t="s">
        <v>81</v>
      </c>
      <c r="C25" s="3" t="s">
        <v>50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>
      <c r="A26" s="2" t="s">
        <v>82</v>
      </c>
      <c r="B26" s="3" t="s">
        <v>83</v>
      </c>
      <c r="C26" s="3" t="s">
        <v>29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>
      <c r="A27" s="2" t="s">
        <v>84</v>
      </c>
      <c r="B27" s="3" t="s">
        <v>85</v>
      </c>
      <c r="C27" s="3" t="s">
        <v>32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>
      <c r="A28" s="2" t="s">
        <v>86</v>
      </c>
      <c r="B28" s="3" t="s">
        <v>87</v>
      </c>
      <c r="C28" s="3" t="s">
        <v>35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>
      <c r="A29" s="2" t="s">
        <v>88</v>
      </c>
      <c r="B29" s="3" t="s">
        <v>11</v>
      </c>
      <c r="C29" s="3" t="s">
        <v>38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>
      <c r="A30" s="2" t="s">
        <v>89</v>
      </c>
      <c r="B30" s="3" t="s">
        <v>90</v>
      </c>
      <c r="C30" s="3" t="s">
        <v>41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>
      <c r="A31" s="2" t="s">
        <v>91</v>
      </c>
      <c r="B31" s="3" t="s">
        <v>92</v>
      </c>
      <c r="C31" s="3" t="s">
        <v>44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>
      <c r="A32" s="2" t="s">
        <v>93</v>
      </c>
      <c r="B32" s="3" t="s">
        <v>94</v>
      </c>
      <c r="C32" s="3" t="s">
        <v>47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>
      <c r="A33" s="2" t="s">
        <v>95</v>
      </c>
      <c r="B33" s="3" t="s">
        <v>96</v>
      </c>
      <c r="C33" s="3" t="s">
        <v>50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>
      <c r="A34" s="2" t="s">
        <v>97</v>
      </c>
      <c r="B34" s="3" t="s">
        <v>98</v>
      </c>
      <c r="C34" s="3" t="s">
        <v>29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>
      <c r="A35" s="2" t="s">
        <v>99</v>
      </c>
      <c r="B35" s="3" t="s">
        <v>100</v>
      </c>
      <c r="C35" s="3" t="s">
        <v>32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>
      <c r="A36" s="2" t="s">
        <v>101</v>
      </c>
      <c r="B36" s="3" t="s">
        <v>102</v>
      </c>
      <c r="C36" s="3" t="s">
        <v>35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>
      <c r="A37" s="2" t="s">
        <v>103</v>
      </c>
      <c r="B37" s="3" t="s">
        <v>14</v>
      </c>
      <c r="C37" s="3" t="s">
        <v>38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>
      <c r="A38" s="2" t="s">
        <v>104</v>
      </c>
      <c r="B38" s="3" t="s">
        <v>105</v>
      </c>
      <c r="C38" s="3" t="s">
        <v>41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>
      <c r="A39" s="2" t="s">
        <v>106</v>
      </c>
      <c r="B39" s="3" t="s">
        <v>107</v>
      </c>
      <c r="C39" s="3" t="s">
        <v>44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>
      <c r="A40" s="2" t="s">
        <v>108</v>
      </c>
      <c r="B40" s="3" t="s">
        <v>109</v>
      </c>
      <c r="C40" s="3" t="s">
        <v>47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>
      <c r="A41" s="2" t="s">
        <v>110</v>
      </c>
      <c r="B41" s="3" t="s">
        <v>111</v>
      </c>
      <c r="C41" s="3" t="s">
        <v>50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>
      <c r="A42" s="2" t="s">
        <v>112</v>
      </c>
      <c r="B42" s="3" t="s">
        <v>113</v>
      </c>
      <c r="C42" s="3" t="s">
        <v>29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>
      <c r="A43" s="2" t="s">
        <v>114</v>
      </c>
      <c r="B43" s="3" t="s">
        <v>115</v>
      </c>
      <c r="C43" s="3" t="s">
        <v>32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>
      <c r="A44" s="2" t="s">
        <v>116</v>
      </c>
      <c r="B44" s="3" t="s">
        <v>117</v>
      </c>
      <c r="C44" s="3" t="s">
        <v>35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>
      <c r="A45" s="2" t="s">
        <v>118</v>
      </c>
      <c r="B45" s="3" t="s">
        <v>12</v>
      </c>
      <c r="C45" s="3" t="s">
        <v>38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>
      <c r="A46" s="2" t="s">
        <v>119</v>
      </c>
      <c r="B46" s="3" t="s">
        <v>120</v>
      </c>
      <c r="C46" s="3" t="s">
        <v>41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>
      <c r="A47" s="2" t="s">
        <v>121</v>
      </c>
      <c r="B47" s="3" t="s">
        <v>122</v>
      </c>
      <c r="C47" s="3" t="s">
        <v>44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>
      <c r="A48" s="2" t="s">
        <v>123</v>
      </c>
      <c r="B48" s="3" t="s">
        <v>124</v>
      </c>
      <c r="C48" s="3" t="s">
        <v>47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>
      <c r="A49" s="2" t="s">
        <v>125</v>
      </c>
      <c r="B49" s="3" t="s">
        <v>126</v>
      </c>
      <c r="C49" s="3" t="s">
        <v>50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>
      <c r="A50" s="2" t="s">
        <v>127</v>
      </c>
      <c r="B50" s="3" t="s">
        <v>128</v>
      </c>
      <c r="C50" s="3" t="s">
        <v>29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>
      <c r="A51" s="2" t="s">
        <v>129</v>
      </c>
      <c r="B51" s="3" t="s">
        <v>130</v>
      </c>
      <c r="C51" s="3" t="s">
        <v>32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>
      <c r="A52" s="2" t="s">
        <v>131</v>
      </c>
      <c r="B52" s="3" t="s">
        <v>132</v>
      </c>
      <c r="C52" s="3" t="s">
        <v>35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>
      <c r="A53" s="2" t="s">
        <v>133</v>
      </c>
      <c r="B53" s="3" t="s">
        <v>10</v>
      </c>
      <c r="C53" s="3" t="s">
        <v>38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>
      <c r="A54" s="2" t="s">
        <v>134</v>
      </c>
      <c r="B54" s="3" t="s">
        <v>135</v>
      </c>
      <c r="C54" s="3" t="s">
        <v>41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>
      <c r="A55" s="2" t="s">
        <v>136</v>
      </c>
      <c r="B55" s="3" t="s">
        <v>137</v>
      </c>
      <c r="C55" s="3" t="s">
        <v>44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>
      <c r="A56" s="2" t="s">
        <v>138</v>
      </c>
      <c r="B56" s="3" t="s">
        <v>139</v>
      </c>
      <c r="C56" s="3" t="s">
        <v>47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>
      <c r="A57" s="2" t="s">
        <v>140</v>
      </c>
      <c r="B57" s="3" t="s">
        <v>141</v>
      </c>
      <c r="C57" s="3" t="s">
        <v>50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>
      <c r="A58" s="2" t="s">
        <v>142</v>
      </c>
      <c r="B58" s="3" t="s">
        <v>143</v>
      </c>
      <c r="C58" s="3" t="s">
        <v>29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>
      <c r="A59" s="2" t="s">
        <v>144</v>
      </c>
      <c r="B59" s="3" t="s">
        <v>145</v>
      </c>
      <c r="C59" s="3" t="s">
        <v>32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>
      <c r="A60" s="2" t="s">
        <v>146</v>
      </c>
      <c r="B60" s="3" t="s">
        <v>147</v>
      </c>
      <c r="C60" s="3" t="s">
        <v>35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>
      <c r="A61" s="2" t="s">
        <v>148</v>
      </c>
      <c r="B61" s="3" t="s">
        <v>149</v>
      </c>
      <c r="C61" s="3" t="s">
        <v>38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>
      <c r="A62" s="2" t="s">
        <v>150</v>
      </c>
      <c r="B62" s="3" t="s">
        <v>151</v>
      </c>
      <c r="C62" s="3" t="s">
        <v>41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>
      <c r="A63" s="2" t="s">
        <v>152</v>
      </c>
      <c r="B63" s="3" t="s">
        <v>153</v>
      </c>
      <c r="C63" s="3" t="s">
        <v>44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>
      <c r="A64" s="2" t="s">
        <v>154</v>
      </c>
      <c r="B64" s="3" t="s">
        <v>155</v>
      </c>
      <c r="C64" s="3" t="s">
        <v>47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>
      <c r="A65" s="2" t="s">
        <v>156</v>
      </c>
      <c r="B65" s="3" t="s">
        <v>157</v>
      </c>
      <c r="C65" s="3" t="s">
        <v>50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>
      <c r="A66" s="2" t="s">
        <v>158</v>
      </c>
      <c r="B66" s="3" t="s">
        <v>159</v>
      </c>
      <c r="C66" s="3" t="s">
        <v>29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>
      <c r="A67" s="2" t="s">
        <v>160</v>
      </c>
      <c r="B67" s="3" t="s">
        <v>161</v>
      </c>
      <c r="C67" s="3" t="s">
        <v>32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>
      <c r="A68" s="2" t="s">
        <v>162</v>
      </c>
      <c r="B68" s="3" t="s">
        <v>163</v>
      </c>
      <c r="C68" s="3" t="s">
        <v>35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>
      <c r="A69" s="2" t="s">
        <v>164</v>
      </c>
      <c r="B69" s="3" t="s">
        <v>165</v>
      </c>
      <c r="C69" s="3" t="s">
        <v>38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>
      <c r="A70" s="2" t="s">
        <v>166</v>
      </c>
      <c r="B70" s="3" t="s">
        <v>167</v>
      </c>
      <c r="C70" s="3" t="s">
        <v>41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>
      <c r="A71" s="2" t="s">
        <v>168</v>
      </c>
      <c r="B71" s="3" t="s">
        <v>169</v>
      </c>
      <c r="C71" s="3" t="s">
        <v>44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>
      <c r="A72" s="2" t="s">
        <v>170</v>
      </c>
      <c r="B72" s="3" t="s">
        <v>171</v>
      </c>
      <c r="C72" s="3" t="s">
        <v>47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>
      <c r="A73" s="2" t="s">
        <v>172</v>
      </c>
      <c r="B73" s="3" t="s">
        <v>173</v>
      </c>
      <c r="C73" s="3" t="s">
        <v>50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>
      <c r="A74" s="2" t="s">
        <v>174</v>
      </c>
      <c r="B74" s="3" t="s">
        <v>175</v>
      </c>
      <c r="C74" s="3" t="s">
        <v>29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>
      <c r="A75" s="2" t="s">
        <v>176</v>
      </c>
      <c r="B75" s="3" t="s">
        <v>177</v>
      </c>
      <c r="C75" s="3" t="s">
        <v>32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>
      <c r="A76" s="2" t="s">
        <v>178</v>
      </c>
      <c r="B76" s="3" t="s">
        <v>179</v>
      </c>
      <c r="C76" s="3" t="s">
        <v>35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>
      <c r="A77" s="2" t="s">
        <v>180</v>
      </c>
      <c r="B77" s="3" t="s">
        <v>181</v>
      </c>
      <c r="C77" s="3" t="s">
        <v>38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>
      <c r="A78" s="2" t="s">
        <v>182</v>
      </c>
      <c r="B78" s="3" t="s">
        <v>183</v>
      </c>
      <c r="C78" s="3" t="s">
        <v>41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>
      <c r="A79" s="2" t="s">
        <v>184</v>
      </c>
      <c r="B79" s="3" t="s">
        <v>185</v>
      </c>
      <c r="C79" s="3" t="s">
        <v>44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>
      <c r="A80" s="2" t="s">
        <v>186</v>
      </c>
      <c r="B80" s="3" t="s">
        <v>187</v>
      </c>
      <c r="C80" s="3" t="s">
        <v>47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>
      <c r="A81" s="2" t="s">
        <v>188</v>
      </c>
      <c r="B81" s="3" t="s">
        <v>189</v>
      </c>
      <c r="C81" s="3" t="s">
        <v>50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>
      <c r="A82" s="2" t="s">
        <v>190</v>
      </c>
      <c r="B82" s="3" t="s">
        <v>191</v>
      </c>
      <c r="C82" s="3" t="s">
        <v>29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>
      <c r="A83" s="2" t="s">
        <v>192</v>
      </c>
      <c r="B83" s="3" t="s">
        <v>193</v>
      </c>
      <c r="C83" s="3" t="s">
        <v>32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>
      <c r="A84" s="2" t="s">
        <v>194</v>
      </c>
      <c r="B84" s="3" t="s">
        <v>195</v>
      </c>
      <c r="C84" s="3" t="s">
        <v>35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>
      <c r="A85" s="2" t="s">
        <v>196</v>
      </c>
      <c r="B85" s="3" t="s">
        <v>9</v>
      </c>
      <c r="C85" s="3" t="s">
        <v>38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>
      <c r="A86" s="2" t="s">
        <v>197</v>
      </c>
      <c r="B86" s="3" t="s">
        <v>198</v>
      </c>
      <c r="C86" s="3" t="s">
        <v>41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>
      <c r="A87" s="2" t="s">
        <v>199</v>
      </c>
      <c r="B87" s="3" t="s">
        <v>200</v>
      </c>
      <c r="C87" s="3" t="s">
        <v>44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>
      <c r="A88" s="2" t="s">
        <v>201</v>
      </c>
      <c r="B88" s="3" t="s">
        <v>202</v>
      </c>
      <c r="C88" s="3" t="s">
        <v>47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>
      <c r="A89" s="2" t="s">
        <v>203</v>
      </c>
      <c r="B89" s="3" t="s">
        <v>204</v>
      </c>
      <c r="C89" s="3" t="s">
        <v>50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>
      <c r="A90" s="2" t="s">
        <v>205</v>
      </c>
      <c r="B90" s="3" t="s">
        <v>206</v>
      </c>
      <c r="C90" s="3" t="s">
        <v>29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>
      <c r="A91" s="2" t="s">
        <v>207</v>
      </c>
      <c r="B91" s="3" t="s">
        <v>208</v>
      </c>
      <c r="C91" s="3" t="s">
        <v>32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>
      <c r="A92" s="2" t="s">
        <v>209</v>
      </c>
      <c r="B92" s="3" t="s">
        <v>210</v>
      </c>
      <c r="C92" s="3" t="s">
        <v>35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>
      <c r="A93" s="2" t="s">
        <v>211</v>
      </c>
      <c r="B93" s="3" t="s">
        <v>212</v>
      </c>
      <c r="C93" s="3" t="s">
        <v>38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>
      <c r="A94" s="2" t="s">
        <v>213</v>
      </c>
      <c r="B94" s="3" t="s">
        <v>214</v>
      </c>
      <c r="C94" s="3" t="s">
        <v>41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>
      <c r="A95" s="2" t="s">
        <v>215</v>
      </c>
      <c r="B95" s="3" t="s">
        <v>216</v>
      </c>
      <c r="C95" s="3" t="s">
        <v>44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>
      <c r="A96" s="2" t="s">
        <v>217</v>
      </c>
      <c r="B96" s="3" t="s">
        <v>218</v>
      </c>
      <c r="C96" s="3" t="s">
        <v>47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>
      <c r="A97" s="2" t="s">
        <v>219</v>
      </c>
      <c r="B97" s="3" t="s">
        <v>220</v>
      </c>
      <c r="C97" s="3" t="s">
        <v>50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>
      <c r="A98" s="2" t="s">
        <v>221</v>
      </c>
      <c r="B98" s="3" t="s">
        <v>222</v>
      </c>
      <c r="C98" s="3" t="s">
        <v>29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>
      <c r="A99" s="2" t="s">
        <v>223</v>
      </c>
      <c r="B99" s="3" t="s">
        <v>224</v>
      </c>
      <c r="C99" s="3" t="s">
        <v>32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>
      <c r="A100" s="2" t="s">
        <v>225</v>
      </c>
      <c r="B100" s="3" t="s">
        <v>226</v>
      </c>
      <c r="C100" s="3" t="s">
        <v>35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>
      <c r="A101" s="2" t="s">
        <v>227</v>
      </c>
      <c r="B101" s="3" t="s">
        <v>7</v>
      </c>
      <c r="C101" s="3" t="s">
        <v>38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>
      <c r="A102" s="2" t="s">
        <v>228</v>
      </c>
      <c r="B102" s="3" t="s">
        <v>229</v>
      </c>
      <c r="C102" s="3" t="s">
        <v>41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>
      <c r="A103" s="2" t="s">
        <v>230</v>
      </c>
      <c r="B103" s="3" t="s">
        <v>231</v>
      </c>
      <c r="C103" s="3" t="s">
        <v>44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>
      <c r="A104" s="2" t="s">
        <v>232</v>
      </c>
      <c r="B104" s="3" t="s">
        <v>233</v>
      </c>
      <c r="C104" s="3" t="s">
        <v>47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>
      <c r="A105" s="2" t="s">
        <v>234</v>
      </c>
      <c r="B105" s="3" t="s">
        <v>235</v>
      </c>
      <c r="C105" s="3" t="s">
        <v>50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>
      <c r="A106" s="2" t="s">
        <v>236</v>
      </c>
      <c r="B106" s="3" t="s">
        <v>237</v>
      </c>
      <c r="C106" s="3" t="s">
        <v>29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>
      <c r="A107" s="2" t="s">
        <v>238</v>
      </c>
      <c r="B107" s="3" t="s">
        <v>239</v>
      </c>
      <c r="C107" s="3" t="s">
        <v>32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>
      <c r="A108" s="2" t="s">
        <v>240</v>
      </c>
      <c r="B108" s="3" t="s">
        <v>241</v>
      </c>
      <c r="C108" s="3" t="s">
        <v>35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>
      <c r="A109" s="2" t="s">
        <v>242</v>
      </c>
      <c r="B109" s="3" t="s">
        <v>8</v>
      </c>
      <c r="C109" s="3" t="s">
        <v>38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>
      <c r="A110" s="2" t="s">
        <v>243</v>
      </c>
      <c r="B110" s="3" t="s">
        <v>244</v>
      </c>
      <c r="C110" s="3" t="s">
        <v>41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>
      <c r="A111" s="2" t="s">
        <v>245</v>
      </c>
      <c r="B111" s="3" t="s">
        <v>246</v>
      </c>
      <c r="C111" s="3" t="s">
        <v>44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>
      <c r="A112" s="2" t="s">
        <v>247</v>
      </c>
      <c r="B112" s="3" t="s">
        <v>248</v>
      </c>
      <c r="C112" s="3" t="s">
        <v>47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>
      <c r="A113" s="2" t="s">
        <v>249</v>
      </c>
      <c r="B113" s="3" t="s">
        <v>250</v>
      </c>
      <c r="C113" s="3" t="s">
        <v>50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>
      <c r="A114" s="2" t="s">
        <v>251</v>
      </c>
      <c r="B114" s="3" t="s">
        <v>252</v>
      </c>
      <c r="C114" s="3" t="s">
        <v>29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>
      <c r="A115" s="2" t="s">
        <v>253</v>
      </c>
      <c r="B115" s="3" t="s">
        <v>254</v>
      </c>
      <c r="C115" s="3" t="s">
        <v>32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>
      <c r="A116" s="2" t="s">
        <v>255</v>
      </c>
      <c r="B116" s="3" t="s">
        <v>256</v>
      </c>
      <c r="C116" s="3" t="s">
        <v>35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>
      <c r="A117" s="2" t="s">
        <v>257</v>
      </c>
      <c r="B117" s="3" t="s">
        <v>258</v>
      </c>
      <c r="C117" s="3" t="s">
        <v>38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>
      <c r="A118" s="2" t="s">
        <v>259</v>
      </c>
      <c r="B118" s="3" t="s">
        <v>260</v>
      </c>
      <c r="C118" s="3" t="s">
        <v>41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>
      <c r="A119" s="2" t="s">
        <v>261</v>
      </c>
      <c r="B119" s="3" t="s">
        <v>262</v>
      </c>
      <c r="C119" s="3" t="s">
        <v>44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>
      <c r="A120" s="2" t="s">
        <v>263</v>
      </c>
      <c r="B120" s="3" t="s">
        <v>264</v>
      </c>
      <c r="C120" s="3" t="s">
        <v>47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>
      <c r="A121" s="2" t="s">
        <v>265</v>
      </c>
      <c r="B121" s="3" t="s">
        <v>266</v>
      </c>
      <c r="C121" s="3" t="s">
        <v>50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>
      <c r="A122" s="2" t="s">
        <v>267</v>
      </c>
      <c r="B122" s="3" t="s">
        <v>268</v>
      </c>
      <c r="C122" s="3" t="s">
        <v>29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>
      <c r="A123" s="2" t="s">
        <v>269</v>
      </c>
      <c r="B123" s="3" t="s">
        <v>270</v>
      </c>
      <c r="C123" s="3" t="s">
        <v>32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>
      <c r="A124" s="2" t="s">
        <v>271</v>
      </c>
      <c r="B124" s="3" t="s">
        <v>272</v>
      </c>
      <c r="C124" s="3" t="s">
        <v>35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>
      <c r="A125" s="2" t="s">
        <v>273</v>
      </c>
      <c r="B125" s="3" t="s">
        <v>6</v>
      </c>
      <c r="C125" s="3" t="s">
        <v>38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>
      <c r="A126" s="2" t="s">
        <v>274</v>
      </c>
      <c r="B126" s="3" t="s">
        <v>275</v>
      </c>
      <c r="C126" s="3" t="s">
        <v>41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>
      <c r="A127" s="2" t="s">
        <v>276</v>
      </c>
      <c r="B127" s="3" t="s">
        <v>277</v>
      </c>
      <c r="C127" s="3" t="s">
        <v>44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>
      <c r="A128" s="2" t="s">
        <v>278</v>
      </c>
      <c r="B128" s="3" t="s">
        <v>279</v>
      </c>
      <c r="C128" s="3" t="s">
        <v>47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>
      <c r="A129" s="2" t="s">
        <v>280</v>
      </c>
      <c r="B129" s="3" t="s">
        <v>281</v>
      </c>
      <c r="C129" s="3" t="s">
        <v>50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>
      <c r="A130" s="2" t="s">
        <v>282</v>
      </c>
      <c r="B130" s="3" t="s">
        <v>283</v>
      </c>
      <c r="C130" s="3" t="s">
        <v>29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>
      <c r="A131" s="2" t="s">
        <v>284</v>
      </c>
      <c r="B131" s="3" t="s">
        <v>285</v>
      </c>
      <c r="C131" s="3" t="s">
        <v>32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>
      <c r="A132" s="2" t="s">
        <v>286</v>
      </c>
      <c r="B132" s="3" t="s">
        <v>287</v>
      </c>
      <c r="C132" s="3" t="s">
        <v>35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>
      <c r="A133" s="2" t="s">
        <v>288</v>
      </c>
      <c r="B133" s="3" t="s">
        <v>289</v>
      </c>
      <c r="C133" s="3" t="s">
        <v>38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>
      <c r="A134" s="2" t="s">
        <v>290</v>
      </c>
      <c r="B134" s="3" t="s">
        <v>291</v>
      </c>
      <c r="C134" s="3" t="s">
        <v>41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>
      <c r="A135" s="2" t="s">
        <v>292</v>
      </c>
      <c r="B135" s="3" t="s">
        <v>293</v>
      </c>
      <c r="C135" s="3" t="s">
        <v>44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>
      <c r="A136" s="2" t="s">
        <v>294</v>
      </c>
      <c r="B136" s="3" t="s">
        <v>295</v>
      </c>
      <c r="C136" s="3" t="s">
        <v>47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>
      <c r="A137" s="2" t="s">
        <v>296</v>
      </c>
      <c r="B137" s="3" t="s">
        <v>297</v>
      </c>
      <c r="C137" s="3" t="s">
        <v>50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>
      <c r="A138" s="2" t="s">
        <v>298</v>
      </c>
      <c r="B138" s="3" t="s">
        <v>299</v>
      </c>
      <c r="C138" s="3" t="s">
        <v>29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>
      <c r="A139" s="2" t="s">
        <v>300</v>
      </c>
      <c r="B139" s="3" t="s">
        <v>301</v>
      </c>
      <c r="C139" s="3" t="s">
        <v>32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>
      <c r="A140" s="2" t="s">
        <v>302</v>
      </c>
      <c r="B140" s="3" t="s">
        <v>303</v>
      </c>
      <c r="C140" s="3" t="s">
        <v>35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>
      <c r="A141" s="2" t="s">
        <v>304</v>
      </c>
      <c r="B141" s="3" t="s">
        <v>5</v>
      </c>
      <c r="C141" s="3" t="s">
        <v>38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>
      <c r="A142" s="2" t="s">
        <v>305</v>
      </c>
      <c r="B142" s="3" t="s">
        <v>306</v>
      </c>
      <c r="C142" s="3" t="s">
        <v>41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/>
  <cp:revision/>
  <dcterms:created xsi:type="dcterms:W3CDTF">2022-05-30T01:30:00Z</dcterms:created>
  <dcterms:modified xsi:type="dcterms:W3CDTF">2026-08-13T09:12:18Z</dcterms:modified>
  <cp:category/>
  <cp:contentStatus/>
</cp:coreProperties>
</file>